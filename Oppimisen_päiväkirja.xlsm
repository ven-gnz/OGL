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429" codeName="{899C9086-67A9-5B14-2C2D-5A8001700F7D}"/>
  <workbookPr codeName="TämäTyökirja" defaultThemeVersion="124226"/>
  <mc:AlternateContent xmlns:mc="http://schemas.openxmlformats.org/markup-compatibility/2006">
    <mc:Choice Requires="x15">
      <x15ac:absPath xmlns:x15ac="http://schemas.microsoft.com/office/spreadsheetml/2010/11/ac" url="C:\Users\rapul\RR\OGL\"/>
    </mc:Choice>
  </mc:AlternateContent>
  <xr:revisionPtr revIDLastSave="0" documentId="13_ncr:1_{59363E7F-C333-41AC-8B1F-22EC536DBC53}" xr6:coauthVersionLast="47" xr6:coauthVersionMax="47" xr10:uidLastSave="{00000000-0000-0000-0000-000000000000}"/>
  <bookViews>
    <workbookView xWindow="-108" yWindow="-108" windowWidth="20376" windowHeight="12096" xr2:uid="{00000000-000D-0000-FFFF-FFFF00000000}"/>
  </bookViews>
  <sheets>
    <sheet name="Oppimispäiväkirja" sheetId="1" r:id="rId1"/>
  </sheets>
  <functionGroups builtInGroupCount="19"/>
  <definedNames>
    <definedName name="_xleta.COUNT" hidden="1" xlm="1">#NAME?</definedName>
    <definedName name="_xleta.SUM"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2" i="1" l="1" a="1"/>
  <c r="H51" i="1" a="1"/>
  <c r="H47" i="1" a="1"/>
  <c r="H35" i="1" a="1"/>
  <c r="H15" i="1" a="1"/>
  <c r="H37" i="1" a="1"/>
  <c r="H3" i="1" a="1"/>
  <c r="H6" i="1" a="1"/>
  <c r="H22" i="1" a="1"/>
  <c r="H38" i="1" a="1"/>
  <c r="H14" i="1" a="1"/>
  <c r="H34" i="1" a="1"/>
  <c r="H8" i="1" a="1"/>
  <c r="H23" i="1" a="1"/>
  <c r="H39" i="1" a="1"/>
  <c r="H40" i="1" a="1"/>
  <c r="H7" i="1" a="1"/>
  <c r="H30" i="1" a="1"/>
  <c r="H26" i="1" a="1"/>
  <c r="H4" i="1" a="1"/>
  <c r="H31" i="1" a="1"/>
  <c r="H24" i="1" a="1"/>
  <c r="H44" i="1" a="1"/>
  <c r="H36" i="1" a="1"/>
  <c r="H9" i="1" a="1"/>
  <c r="H17" i="1" a="1"/>
  <c r="H27" i="1" a="1"/>
  <c r="H45" i="1" a="1"/>
  <c r="H33" i="1" a="1"/>
  <c r="H13" i="1" a="1"/>
  <c r="H25" i="1" a="1"/>
  <c r="H46" i="1" a="1"/>
  <c r="H11" i="1" a="1"/>
  <c r="H53" i="1" a="1"/>
  <c r="H54" i="1" a="1"/>
  <c r="H58" i="1" a="1"/>
  <c r="H58" i="1" l="1"/>
  <c r="H54" i="1"/>
  <c r="H53" i="1"/>
  <c r="I51" i="1" s="1"/>
  <c r="H52" i="1"/>
  <c r="H51" i="1"/>
  <c r="H11" i="1"/>
  <c r="H46" i="1"/>
  <c r="H25" i="1"/>
  <c r="H13" i="1"/>
  <c r="H33" i="1"/>
  <c r="H45" i="1"/>
  <c r="I44" i="1" s="1"/>
  <c r="H27" i="1"/>
  <c r="H17" i="1"/>
  <c r="H9" i="1"/>
  <c r="H36" i="1"/>
  <c r="H44" i="1"/>
  <c r="H24" i="1"/>
  <c r="H31" i="1"/>
  <c r="H4" i="1"/>
  <c r="H26" i="1"/>
  <c r="H30" i="1"/>
  <c r="I30" i="1" s="1"/>
  <c r="H7" i="1"/>
  <c r="H40" i="1"/>
  <c r="H39" i="1"/>
  <c r="H23" i="1"/>
  <c r="H8" i="1"/>
  <c r="H34" i="1"/>
  <c r="H14" i="1"/>
  <c r="H38" i="1"/>
  <c r="I37" i="1" s="1"/>
  <c r="H22" i="1"/>
  <c r="H6" i="1"/>
  <c r="H3" i="1"/>
  <c r="H37" i="1"/>
  <c r="H15" i="1"/>
  <c r="H35" i="1"/>
  <c r="H47" i="1"/>
  <c r="I3" i="1" l="1"/>
  <c r="I6" i="1"/>
  <c r="I13" i="1"/>
  <c r="I21" i="1"/>
  <c r="J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<sst xmlns="http://schemas.openxmlformats.org/spreadsheetml/2006/main" count="227" uniqueCount="187">
  <si>
    <t>Oppimisen sisältö</t>
  </si>
  <si>
    <t>Oppimisen laatu</t>
  </si>
  <si>
    <t>Muut huomiot</t>
  </si>
  <si>
    <t>Tämä on vain pakko tehdä, mutta kaipa se makefilejen muokkaus, konffaus, kääntäjän ja linkkerin toiminta on ohjelmoijan yleissivistystä vaikkei ehkä sitä herkuinta.</t>
  </si>
  <si>
    <t>Aikamoista keppihevostelua ja Stack Overflown kahlaamista. Koitin jotakin taas oppiakin, mutta lienee sitten kurssin ulkopuolella ja edetessä kiinnostusta perehtyä enemmänkin build systemeihin.</t>
  </si>
  <si>
    <t>Hello Triangle. Liukuhihna. Näytönohjaimen toiminta.</t>
  </si>
  <si>
    <t>MA</t>
  </si>
  <si>
    <t>TI</t>
  </si>
  <si>
    <t>KE</t>
  </si>
  <si>
    <t>TO</t>
  </si>
  <si>
    <t>PE</t>
  </si>
  <si>
    <t>SU</t>
  </si>
  <si>
    <t>LA</t>
  </si>
  <si>
    <t>Viikko</t>
  </si>
  <si>
    <t>PVM</t>
  </si>
  <si>
    <t>Tunnit</t>
  </si>
  <si>
    <t>Huomioita koodista</t>
  </si>
  <si>
    <t>Tuntikertymä</t>
  </si>
  <si>
    <t>Viikko 0</t>
  </si>
  <si>
    <t>Viikko 1</t>
  </si>
  <si>
    <t>Pe</t>
  </si>
  <si>
    <t>Kellonajat</t>
  </si>
  <si>
    <t>Tutoriaalin aloitustoimet</t>
  </si>
  <si>
    <t>Nyt on  konffattu ja tyhjä ikkuna näkyy. Huomenna piirretään kolmio. Hyvä ensimmäinen päivä! Huomenna myös repo pystyyn.</t>
  </si>
  <si>
    <t>Nyt ensimmäinen varsinainen opiskelupäivä. Koitin mennä aika hitaasti.  Keskittyminen kohtuullista. Oppimista tapahtui, mutta vähän ehkä pitää vielä "tottua" ennen kuin alkaa huomaamaan mitä oppi ja mitä ei. Jatketaan harjoitusten myötä asian sisäistämistä.</t>
  </si>
  <si>
    <t>Tosiaan se virheen metsästys oli aika työn ja tuskan takana. Koodi on boilerplatea. Dokumentaatio tuli avattua, metodisignatuureja lueskeltu. Koodi ei ollut tänään keskiössä. Noin puolitoista - kaksi tuntia meni hölmön virheen etsimisessä - luulin linkittäneeni varjostimet varjostinohjelmaan.</t>
  </si>
  <si>
    <t>11:15-13:00, 13:50-16:05, 16:30-17:30</t>
  </si>
  <si>
    <t>Johdanto varjostimiin</t>
  </si>
  <si>
    <t>Tuo shader.h ei ole cpp standardin mukaista, mutta siihen otetaan enemmän kantaa huomenna kun syvennytäään tehtäviin. Myös muutenkin voisi harrastaa tuota yhteisten tiedostojen ja konffausten tuomista repossa ylöspäin. Tai ehkä oliis pitänyt tehdä se alun perinkin.</t>
  </si>
  <si>
    <t>Vähän väsyttää! Ei saa liikaa tehdä ja tarkkailla jaksamista ja laatua. Hyvä seuraava päivä, huomenna pirteämpänä ja aikaisemmin aloittaen</t>
  </si>
  <si>
    <t>Keskittyminen kohtuullista. Tutoriaalissa on ongelmana, että aika vähän taustaa ja asiat etenevät aika nopeasti. Ihan jees, tekemiseen keskittynyt. Nyt kuitenkin tänään ymmärsi paremmin eilisen asiat. Seuraillaan tilannetta. Pitänee varmaan alkaa etsimään tutoriaalin tueksi muuta, onneksi hyllystä löytyy RR4 jota voinee pläräillä jahka pääsee tämän kanssa ensin sinuiksi.</t>
  </si>
  <si>
    <t>Johdanto varjostinten parissa jatkuu. Tein tehtävät ja refaktoroin hieman koodia. Siivoilin muutenkin main tiedostoa. Tänään vuorossa oli informaatio dumppaus c++ asioista ja paljon hölmöjen aloittelijavirheiden toistoa. Suuri osa vain syntaksispesifejä juttuja, esim virheilmoituksista en osaa vielä päätellä että minkä tyyppinen typo koodissa on tai merkki väärässä paikkaa. Varsinaista asiasisältöä koen kohtuullisesti sisäistäneeni, sillä varjostinten matematiikka meni kääntyvissä tapauksissa kerralla maaliin.</t>
  </si>
  <si>
    <t>Paljon on unohdettu c++ asioita vuodessa. Konstruktorin näkyvyysmääreet, konstruktorin syntaksi ja olioiden käyttäminen opeteltava kunnolla kurssin kontekstisa nyt ainakin. Onneksi tässä on aikaa vielä oppia kaikki vanha vähä osaaminen nopeasti takaisin.</t>
  </si>
  <si>
    <t>Töistä poistuttu aikaisemmin, jotta ei mene joka päivä aloittaminen liian myöhäseksi. Perjantaina on tehtävä sama ja lopetettava ajoissa, että lauantaina jaksaa sen vähän pidemmän setin. Nyt kun tässä opitaan työkaluja, niin voisi tehdä vaikka ykkösluvun päätteeksi jonkun vähän taiteellisemman tai isomman jutun.</t>
  </si>
  <si>
    <t>16:25-17:45, 18:50-19:45</t>
  </si>
  <si>
    <t>Refaktorointi shader.cpp tiedostoksi. Johdanto varjostimiin tehtävät. Hieman muistiinpanoja tein cpp asioista. Koitan olla liikaa käyttämättä aikaa niihin kurssin aikabudjetista.</t>
  </si>
  <si>
    <t>Kohtuullinen toinen päivä. Konfattu excel macro työtuntien laskemiseen.</t>
  </si>
  <si>
    <t>17:05-18:25,19:30-20:40</t>
  </si>
  <si>
    <t>Johdatus tekstuureihin. Hieman kertailua, erityisesti kärkipistevirta ja cpp buildit, includefilet ja vscode conf.</t>
  </si>
  <si>
    <t>Oppiminen tuntui vähän tahmealta. Täytyy kiinnittää huomiota tauotukseen. En päästänyt itseäni liian helpolla, vaan yritin käydä kertaamassa elementtipuskurin. Kärkipistevirran ymmärrystä syvennetty. Ensimmäinen oikea virhe ajattelussa huomattu, mutta äkkäsin kyllä laajemman kuvan kun reflektoin virhettäni. Nyt ymmärrän varjostimen toimintaa ja käyttöä paremmin.</t>
  </si>
  <si>
    <t xml:space="preserve">Aika OpenGL spesifi päivä. Mieleeni juolahti, että tekstuurin alustamisen voisi eristää omaksi luokakseen ja tehdä headeri. Se voisi olla sopivan suoraviivainen cpp lämmittelyhaaste. Vähän vaikeampi voi olla ikkunan luontiin ja  GLFW koodin vieminen omaksi luokakseen. </t>
  </si>
  <si>
    <t>Tunteja kertyy kohtalaisesti ja oppimista tapahtuu.</t>
  </si>
  <si>
    <t>Tekstuurikappale loppuun tehtävineen. Refaktorointi tekstuuri kääreluokka-olioiksi samaan tapaan kuin shader kappaleessa.</t>
  </si>
  <si>
    <t>Alkuun meinasi mennä aika tahmeasti. Sain psyykattua itseäni pitämällä lyhyitä sessioita ja taukoja alkuun. Loppua kohden jopa ihan hyvää vääntöä. Tekstuurit paremmin hanskassa. C++ pitää ottaa hanskaan myös ja nyt refaktorointi edellä mennään.</t>
  </si>
  <si>
    <t>Koodi parani tänään. Sain toteutettua oman valinnaisen lisähaasteen refaktoroida ja kapseloida. Tietysti tässä aletaan lähestyä Clean Codeilua, mutta niin kauan kuin tässä treenaillaan vain perusjuttuja niin ei haittaa vaikka tuetaan vain yhtä sensible default toteutusta tekstuurille. Cpp standard libraryn opetteluun on käytävä, nyt ollaan stackoverflown, googlen ja laajojen kielimallien varassa kun aika meinaa loppua illoista kesken. Ainakin motivaatiota opetella synnytetään kurssin lomassa.</t>
  </si>
  <si>
    <t>Aika rankka päivä noin energiatasojen puolesta mutta hienosti lähti sujumaan loppua kohden ja motia löytyi.</t>
  </si>
  <si>
    <t>17:55-18:25, 18:30-18:55,19:00-19:25, 19:30-20:40</t>
  </si>
  <si>
    <t xml:space="preserve">Transformations kappale. Matriisioperaatioiden nopea kertaus. Osaan edelleen matriisien kertolaskun. Vapaaehtoinen lisätehtävä taidetepläjäys napakoordinaatein. </t>
  </si>
  <si>
    <t>Ihan hauska oli näperrellä ja pätkytellä. Tuntuu, että näin matikan sivuaineilijalle ei mitään uutta kappaleessa. Vastaavia juttuja tehty TIEA311 ja instanssi demopajassa. Keskittyminen kohtuullista, joskin tämä oli ehkä enemmän pois alta kappale. Johan se olisi toivottavaakin että vektorilaskennan ja lineaarialgebran ym kurssien tällaiset asiat eivät tuota suurempaa tuskaa.</t>
  </si>
  <si>
    <t xml:space="preserve">Pikkuhiljaa alkaa menemään tuota cpp syntaksia takaraivoon. Vapaaehtoinen refaktorointiharjoitustyö viime opintopäivänä auttoi. Nyt ei tullut compile virheitä eikä varoituksia jota pidän hyvänä merkkinä. </t>
  </si>
  <si>
    <t>Lyhyempi setti viikonlopun kunniaksi.</t>
  </si>
  <si>
    <t>8:15-9:45,18:15-19:30,19:45-21:00</t>
  </si>
  <si>
    <t>12:15-14:00,18:15-20:45</t>
  </si>
  <si>
    <t>17:45-18:50, 19:20-20:15</t>
  </si>
  <si>
    <t>Viikkotunnit</t>
  </si>
  <si>
    <t>Viikko 2</t>
  </si>
  <si>
    <t xml:space="preserve">Koordinaatistomuunnokset &amp; järjestelmät. </t>
  </si>
  <si>
    <t>Yritin refaktoroida koodia. Ei kääntyvässä tilassa. Debuggaus huomenna. Segmentaatiovirhe.</t>
  </si>
  <si>
    <t>Pieni ja kevyehkö kertauspäivä. Tekeminen oli varsin hyvää. Vielä on matkaa guruksi kun äkkiä saa kovaankin solmuun kaiken. Itse asian opiskelu meni hyvin.</t>
  </si>
  <si>
    <t>17:25-18:30, 18:40-20:35</t>
  </si>
  <si>
    <t>Johdatus kameraan ja sen puutteeseen OpenGL.</t>
  </si>
  <si>
    <t xml:space="preserve"> Ammuin itseäni jalkaan tuolla eilen aloittamallani refaktoroinnilla. Tarvitaan lisää pohjatietoja ja jotakin tutoriaalin ulkopuolista materiaalia että saan tehtyä halutunlaisen toteutuksen. Nyt en päässyt hyötymään kääreluokasta. Work in progress, ja katsotaan miten paljon on siihen käyttää aikaa. </t>
  </si>
  <si>
    <t xml:space="preserve">Oppimista tapahtui. Rupesi hermostuttamaan omat hölmöt ideat ja lyhytnäköisyys ja toisaalta itsensä johtamisen taitojen puute. Haluaisin osata, mutta en hirveästi jaksa nähdä vaivaa. Kiinnostus kantaa kyllä vielä, mutta tuleeko jossakin vaiheessa se matalampi kynnys kurkata pohjakoodia jos koodi ei käänny... Laatuun panostettava enemmän jatkossa, ja oppiminen itseä varten. Ei tunteja keräillen vaan virkeämpänä. </t>
  </si>
  <si>
    <t>Täytyy välttää ottamasta liian haastavia refaktorointiprojekteja.</t>
  </si>
  <si>
    <t>18:15-18:40,18:45-19:25,19:30-20:15</t>
  </si>
  <si>
    <t>Kameran refaktorointi omaan luokkaansa. Erilaiset cpp kääntäjän virheiden tulkinta</t>
  </si>
  <si>
    <t>18:35-19:35, 19:45-20:55</t>
  </si>
  <si>
    <t>Tutustuttu lisää cpp objekteihin, kääntäjävirheisiin ja mitä sudenkuoppia liittyy siihen että yrittää suoraan refaktoroida tarjotun shader.h tiedoston omaksi luokakseen ja otsaketiedostokseen. Random virheidenmetsästystä. Oppimista tapahtui, ja erityisesti kun sain kääntyvän ohjelman ymmärsin linalg taustani takia etsiä virhettä oikeasta paikasta. Varsinainen asia vähemmällä tänään, cpp päivä.</t>
  </si>
  <si>
    <t>Hitaasti ja varmasti kehittyen. Ei enää 30% laadulla vaan kohti parempaa koodia.</t>
  </si>
  <si>
    <t>Pian getting started paektissa ja kurssia jäljellä noin 100 tuntia. Hyvin lähtenyt liikkeelle.</t>
  </si>
  <si>
    <t>13:30-14:30</t>
  </si>
  <si>
    <t>Kameran tehtävien aloitus</t>
  </si>
  <si>
    <t>Tuli kiire kun ei game jamin takia ehtinyt kunnolla paneutumaan tehtäviin. Kiusaus katsoa mallikoodia oli suuri. Ensi viikolla ajan ja ajatuksen kanssa jatketaan loppuun ja edetään seuraavaan lukuun.</t>
  </si>
  <si>
    <t>Koodi ei semanttisesti oikein, ei mikään ihmeellinen koodipäivä. Outo virhe kameran käytöksessä on myös mallivastauksen mukaisessa, eli virhe löytynee muualta</t>
  </si>
  <si>
    <t>Viikko 3</t>
  </si>
  <si>
    <t>Kameran tehtävät loppuun. Kertausluku. Aamulla miitti.</t>
  </si>
  <si>
    <t>Tekeminen saatu taas palautettua hyvälle tasolle, askel taakse pari eteen. Rauhassa lisää pureksittu kamera-asioita, ja lyhyt kertaus. Huomenna kohti valaistusta.</t>
  </si>
  <si>
    <t>Pientä refaktorointia. Erityisesti tapetilla tänään oli OpenGL column row matriisi viittaus hässäkkä. Ei suuria muutoksia.</t>
  </si>
  <si>
    <t>Miitin vertaistuesta paljon hyötyä, bongasi virheen helpommin.</t>
  </si>
  <si>
    <t>08:15-10:00, 17:10-18:10, 18:20-19:05</t>
  </si>
  <si>
    <t>19:00-19:50, 19:55-20:20</t>
  </si>
  <si>
    <t>Kevyt päivä. Odotan innolla että päästään tekemään siistimpiä juttuja.</t>
  </si>
  <si>
    <t xml:space="preserve">Koodi ei pääosassa tänään. </t>
  </si>
  <si>
    <t>18:20-19:20, 19:30-20:00</t>
  </si>
  <si>
    <t>Lighting chapte aloitus. Hieman kertailua tarpeen mukaan.</t>
  </si>
  <si>
    <t>Oli hauskaa! Virheiden löytäminen nopeutuu, syntyy intuitiota mikä virheen voisi aiheuttaa. Lisää tällaista! Nyt pääsemässä itse asiaan, tosin aika simppeliä vielä. Pohjataitoja keräten.</t>
  </si>
  <si>
    <t>Tiedostopuu täyttyy. Voisi lueskella järkevistä tiedostorakenteista. Toistaiseksi shadereille oma kansio.</t>
  </si>
  <si>
    <t>Basic Lighting tutoriaaliluku.</t>
  </si>
  <si>
    <t>17:55-18:40, 18:55-20:25</t>
  </si>
  <si>
    <t>Basic Lighting tehtävät</t>
  </si>
  <si>
    <t>Oppia taas sai, mutta ei mikään paras vire tänään. Gouraud varjostus sanana tuttu, mutta jonkinnäköistä agressiivisempaa kärkipisteperustaista interpolointia värin laskemiseksi siis näyttäisi olevan. Tulee mieleen PS1 grafiikat.</t>
  </si>
  <si>
    <t>Pienesti kiinnitetty huomiota varjostinohjelmointiin. Lähinnä karsinut turhia muuttujia liikkuessa toteutuksesta toiseen.</t>
  </si>
  <si>
    <t>Aika ripeällä tahdilla menty ja aika paljon virheitä tuntuu syntyvän. Pitäisi käyttää enemmän aikaa koodaustehtävien tekemiseen. Rauhallisempi tahti sopii itselle paremmin, mutta jokainen päivä ei ole samanlainen. Täytyy koittaa tasapainoilla.</t>
  </si>
  <si>
    <t>Väsyneenä kadotin kuution. Mallimatriisi päivitettiin väärään varjostimeen. Seurauksena nollamatriisilla kertominen kadotti näkyvistä valonlähteen. Virheen etsiminen vei tehokasta aikaa.</t>
  </si>
  <si>
    <t>Hienoista kertausta. Jonkin verran samaa asiaa kuin kandissa. Nyt käytännössä. Huomenna tehtävät. Sellainen 70% laatu tekemisessä, on sentään perjantai.</t>
  </si>
  <si>
    <t>Hiukan himottaisi taas sievennellä, jospa siihen löytyisi viikonloppuna aikaa.</t>
  </si>
  <si>
    <t>18:58-19:58, 20:18-20:54</t>
  </si>
  <si>
    <t>Material luku "esiprosessointi". Käyty suurinpiirtein luku lävitse ja tehtävien avulla tarkastetaan huomenna ja jatketaan oppimista.</t>
  </si>
  <si>
    <t>Materiaali tehtävät. hyvin pientä koodin organisointia, material ja light structit.</t>
  </si>
  <si>
    <t xml:space="preserve">Mukavaa oli ja taas sai vähän harjaannutua. Aika kevyt päivä ja toivottavasti seuraavassa luvussa vähän enemmän uutta, tämä tuntui tällaiselta introlta pbr juttuihin vain. Toki </t>
  </si>
  <si>
    <t>Ei löytynyt viikonloppuna aikaa sievennellä koodia! Ensi viikolla jatketaan eteenpäin. Tällä viikolla vähän huonommin kerätty tunteja, pitänee skarpata.</t>
  </si>
  <si>
    <t>Kurssista käyty nyt ajankäytöllisesti noin kolmasosa. Varmaan ihan jees että välillä kevyempiä viikkoja niin kokonaisuutena jaksaa paremmin ja oppiminen tehokkaampaa. Itsensä voittamisen taitoja harjoiteltava, ettei tee liikaa muttei myöskään vain koodiapinoi tutoriaalia läpi. Haasteena on ajan löytäminen omiin vapaaehtoisiin haasteisiin.</t>
  </si>
  <si>
    <t>16:20-17:50</t>
  </si>
  <si>
    <t>Viikko 4</t>
  </si>
  <si>
    <t>18:30-19:30, 19:45-20:30</t>
  </si>
  <si>
    <t>Lightmaps. Materiaalin tarkempi käytös valon eri komponenteille. Lähestyminen kohti kehittyneempiä valaistusmalleja?</t>
  </si>
  <si>
    <t xml:space="preserve">Uusi konsepti. Täytyy pysähtyä tähän äärelle nyt huomenna ainakin ja pureksia. </t>
  </si>
  <si>
    <t>Outo sininen highlight selittyi oman structin väärinkäytöllä. Huolellisuus näin iltaisin tuntuu olevan välillä rajattu resurssi.</t>
  </si>
  <si>
    <t>18:30-19:20, 19:40-20:50</t>
  </si>
  <si>
    <t>Lightmaps tehtävät.</t>
  </si>
  <si>
    <t>Löytyi hieman heikosti ymmärretty koodinipsaus kommenteista, muilla oli samaa ongelmaa. Täytyy opetella merkkifunktio paremmin. Täytyisi muutenkin ottaa tässä ylös matikkaa mitä kerrata, että pääsee pidemmälle ja syvemmälle myös siinä.</t>
  </si>
  <si>
    <t>Tuli ymmärretyä paremmin. Tämä on kivaa, kun tässä on kaikkea jännää kuten käyttömatikkaa ja rinnakkaisuutta. Huomenna lisää valoja.</t>
  </si>
  <si>
    <t>18:30-19:35, 19:45-20:40</t>
  </si>
  <si>
    <t xml:space="preserve">LightCasters tutoriaaliluku. </t>
  </si>
  <si>
    <t>Nyt oli huonoa tekemistä. Aika väsyneenä tein ja suuri osa ajasta meni virheiden etsimiseen. Varjostimet eivät kääntyneet, kun yritin vähentää vektorista liukulukua. Samoin yritin kertoa vektorilla liukulukua. Puuttuvia puolipisteitä.</t>
  </si>
  <si>
    <t>Siisti efekti. Tekee mieli opetella lisää trigonometriaa kun kosinia tarvitaan kaikkialla. Olisipa enemmän aikaa tutkistella ja rakennella tutoriaalin matksuilla hienompia juttuja. Mutta oppia sentään saa.</t>
  </si>
  <si>
    <t>Tästä päivästä voinee kyllä antaa itselleen risuja myös täältä. Huolimaton päivä uupumusta täynnä. Koodissa paljon semanttisia virheitä, joista syistä sitten ei käänny varjostimet. Huono päivä.</t>
  </si>
  <si>
    <t>LightCaster tehtävä</t>
  </si>
  <si>
    <t>18:15-19:15</t>
  </si>
  <si>
    <t>Oli parempaa tekemistä. Huomenna useamman valon kimppuu, onnibusin siivittämänä. Varjostinkieli alkaa pikkuhiljaa sujua. Tai ei nyt sujua, mutta alkaa oppimaan minkäalisia virheitä tekee silloin kun ne eivät käänny. Tai sitten ovat eiliseltä vielä muistissa.</t>
  </si>
  <si>
    <t>Koodiin ei ole hirveästi panostettu, mitä nyt muutama structi tehty jotta helpompi muutella valon ominaisuuksia. Helppokäyttöisyys edellä.</t>
  </si>
  <si>
    <t>Kolmasosa kurssia takana. Muu elämä väsyttää. Tasapainoa hakiessa.</t>
  </si>
  <si>
    <t>Multiple lights</t>
  </si>
  <si>
    <t>Parempi päivä kuin eilinen. Tosin puuttuvaa puolipistettä sai aika kauan etsiä. Hieno kokonaisuus, mutta vähän ehkä intromainen silti valoihin. Nämä kun ovat oleellisia, ehkä näiden parissa lisää tuolla advanced luvussa.</t>
  </si>
  <si>
    <t>Jotakin pientä mallikoodin ja koodiesimerkkien refaktorointia, mutta se nyt oli muutenkin tämän luvun keskiössä. Huomenna lisää.</t>
  </si>
  <si>
    <t>Sponsored by onnibus.</t>
  </si>
  <si>
    <t>Kertaus valoihin ja multiple lights tehtävä</t>
  </si>
  <si>
    <t>Lyhyt kertauspäivä. Tunnen refaktorintisyyhyn. Valoilmiöiden oppiminen toivottavasti jatkuu myöhemmin. Mutta ainakin nyt tullut kerrattua peruskurssin valoasiat ja osaan ne tehdä varjostimessa. Hyvä jatkaa kohti uudempia asioita.</t>
  </si>
  <si>
    <t>Systemaattisesti jotenkin huomaan, että jatkuvasti tuntuu päivittäin hampaankoloon asioita backlogiin. Ja minä kun luulin, että nyt olisi aikaa syventyä kun jätti töiden ohelle vain yhden kurssin. Täytyy varoa liikaa turhautumasta.</t>
  </si>
  <si>
    <t>16:20-17:20</t>
  </si>
  <si>
    <t>11:40-12:50, 13:15-14:05</t>
  </si>
  <si>
    <t>Huvittaisihan tuohon koskea ja vähän kehnolta näyttää. Tällä viikolla ei ole ollut ehkä aikaa tai kiinnostusta/jaksamista perehtyä tämän enempää.</t>
  </si>
  <si>
    <t>Viikko 5</t>
  </si>
  <si>
    <t>Kanonin macos makefile. Assimp kirjasto. Formattereihin tutustuminen.</t>
  </si>
  <si>
    <t>Tsemppiringin palautteesta johtuen otamme seuraavaa työkalua haltuun eli koodiformaatteria. Vielä se ei taida mitään tehdä.</t>
  </si>
  <si>
    <t xml:space="preserve"> Assimp kirjasto ladattu. Palauteltu mieleen vanhoja TIEA juttuja käsitteiden tasolla. Nyt sitten tuodaan siihen teoriaan jotain mielenkiintoisempia asioita lisää ja ennenkaikkea monikäyttöisempää. </t>
  </si>
  <si>
    <t>08:15- 09:50, 17:30-18:40, 18:50-20:10</t>
  </si>
  <si>
    <t>Yritämme ottaa pienen tsemppauksen, kohti alkuperäisempää tavoitetta käyttää tähän se 130 tuntia.</t>
  </si>
  <si>
    <t>Model loading. Makefilessä palattu taaksepäin - assimp kanssa tuli ongelmia. Manuaalinen copypaste ja debuggaus.</t>
  </si>
  <si>
    <t>Täysin turha päivä. Copy pastesin nopeasti koodit, että sain varmuuden että toimii. Huomenna sulatellaan asiaa ja tehdään header ja cpp. Ja siistitään koodia muutenkin, tai sitten mennään eteenpäin.</t>
  </si>
  <si>
    <t>17:00-18:15,18:20-20:15</t>
  </si>
  <si>
    <t>Helpostihan se näköjään tulee tunteja kun tekee tyhmiä töhöjuttuja. Olisiko windowsilla päässyt helpommalla?</t>
  </si>
  <si>
    <t xml:space="preserve">Model loading jatkuu. Asian sisäistämistä ja model.cpp ja mesh.cpp tiedostojen tekemistä. </t>
  </si>
  <si>
    <t>17:55-18:50,19:00-20:45</t>
  </si>
  <si>
    <t>Cpp haasteita. Mallin lukeminen hyvää kertausta. Kohta pääsee varsinaiseen pihvisisältöön. Erikoisia virheitä cpp mitä ei osaa vielä tulkita : miksi ei voi vain siirtää varsinaista toteutuskoodia headerista cpp:hen? Jotakin viittaussemantiikkaa tässä on tai jotain muuta mitä en edes tiedä terminä. Nyt kuitenkin jo joitakin cpp virheitä onnistunut tulkitsemaan niin kyllä se tästä. Tekemisen laatua painottaen.</t>
  </si>
  <si>
    <t>15:00-16:00,16:15-17:30</t>
  </si>
  <si>
    <t xml:space="preserve">Edellisten päivien model loading pikakelauksen aiheuttamien tuojen selvittelyä. </t>
  </si>
  <si>
    <t>Segfault 0x00000000 on nullpointerexception, kuten TIEA311 muistamme.</t>
  </si>
  <si>
    <t>Tekeminen oli hyvää, lähdin aiemmin töistä tätä varten. C++ päivä. Mesh oli huono valinta tehdä luokaksi, kun sitten niitä pitäisi alustaa ja koodi monimutkaistuisi huomattavasti. Harvemmin niitä kuitenkin muutetaan, joten olisiko jokin struct ratkaisu pitkällä tähtäimellä parempi?</t>
  </si>
  <si>
    <t>Viikko 6</t>
  </si>
  <si>
    <t>Advanced OpenGL. Syvyystestaus, perspektiivimatriisit.</t>
  </si>
  <si>
    <t>16:20-17:40,18:30-20:00</t>
  </si>
  <si>
    <t>Mukava palata opintojen pariin viikonlopun jäljiltä levänneenä. Toivottavasti työajan kevennys näkyy siinä, että opinnot tulee aloitettua ja lopetettua aiemmin saaden niistä enemmän irti.</t>
  </si>
  <si>
    <t>Ensimmäinen "advanced" aidosti uusi asia - tosin en kyllä tekstuureita oppinut käyttämään tiea311 kurssilla. Nyt kun kurssi lähestyy puoltaväliä ajankäytöllisesti hyvä päästä viimein uuden asian pariin. Huomenna tutoriaali loppuun miten tehdään oma perspektiivimuunnosmatriisit ja korvataan pikkuhlijaa glm koodia omalla.</t>
  </si>
  <si>
    <t>Virheiden löytäminen helpottunut kun sitäkin tullut harrastettua. Aika vähä koodia syntyi.</t>
  </si>
  <si>
    <t>17:25-18:35, 18:35-19:35</t>
  </si>
  <si>
    <t>Oma perspektiivimatriisi metodi, tutoriaalin ulkopuolinen lisämateriaali.</t>
  </si>
  <si>
    <t>Minäpystyyvyyttä hankittu! Oma perspektiivimetodi aiheutti onnistumisen kokemuksia.</t>
  </si>
  <si>
    <t>Tänään kirjoitin noin 10 riviä koodia, mutta tuntui että ymmärsin nyt kunnolla perspektiivin ja muutenkin rutinoiduin käyttömatikassa ja itsenäisessä opiskelussa. Erinomaista tekemistä tänään.</t>
  </si>
  <si>
    <t>Siivutustesti. Kohtuullinen ymmärrys mitä sillä tehdään, osasin apinoida perässä. Tutoriaaliluku ja youtube video perään.</t>
  </si>
  <si>
    <t>Kyllä tällä pärjää. Koodi ei ollut keskiössä, eikä juurikaan teknistä osaamista syntynyt. Täytyy tehdä joku visualisaatio tai muu, missä näkee konkreettisemmin asian hyödyn.</t>
  </si>
  <si>
    <t>Taas kerran varjostinten käyttöön hieman rutinoiduttu, eli ongelmien löytäminen nopeutuu.</t>
  </si>
  <si>
    <t>17:40-19:50</t>
  </si>
  <si>
    <t>17:00-18:20</t>
  </si>
  <si>
    <t>Tekstuurien sekoittaminen tutoriaalikappale.</t>
  </si>
  <si>
    <t xml:space="preserve">Kohtuullinen onnibussisessio matkalla assyille. Aktiivisessa lunttaamisessa kehitytty! Kysellen mistä olisi pitänyt ymmärtää tuollainen sinne lässäyttää, ja välillä tuntuu että oletetaan keksivän jonkun jutun mitä ei ehkä keksinyt. Mutta aktiivinen ote pidetään, jos haluaa koodia kopioida sen voi hoitaa joku siitä motivoituneempi. Tänään oli kysymyksenä vain mistä olisi pitänyt saada sopivat arvot kärkipisteille, ja että se olisi omassa taulukossaan. </t>
  </si>
  <si>
    <t>Tietorakenteisiin syvennyttävä. Nyt alkaa tulla uutta ja modernimpaa grafiikka-asiaa, niin huono cpp tuntemus muodostunee jollakin tasolla pullonkaulaksi.</t>
  </si>
  <si>
    <t>Viikko 7</t>
  </si>
  <si>
    <t>08:15-09:50</t>
  </si>
  <si>
    <t>Tsemmpirinki</t>
  </si>
  <si>
    <t>16:00-17:15,18:00-20:45</t>
  </si>
  <si>
    <t>Koneen vaihto windowsiin ja visual studio setup.</t>
  </si>
  <si>
    <t>Opin lisää windows ekosysteemistä, se on parempi. Nyt meni noin neljä tuntia saada jatkettua siitä mihin jäi sisältäen windows päivityksiä ja editorin asennuksen. Konffauksessa kehitytty.</t>
  </si>
  <si>
    <t>18:00-19:30, 19:45-20:25</t>
  </si>
  <si>
    <t>Visual studio workflown päivitys ja naamanpoiminta</t>
  </si>
  <si>
    <t>Luulin jo päässeeni vähemmällä. Ei auta, oppirahoja on maksettava. Linkkeri ja include virheet tutummiksi. Jäi siinä 20-25 minuuttia aikaa lukea kappale ajatuksella läpi.</t>
  </si>
  <si>
    <t>Naamanpoimintatehtävä ja uusi kansio repoon huomista varten ja builditesti. Helppo kopiointi onnistuu nyt viimein.</t>
  </si>
  <si>
    <t>Nyt täytyy kyllä sanoa, että eilen ja tänään opetelteva konsepti oli aika yksinkertainen, mutta samalla paljon tyhmiä virheitä. En eilen ymmärtänyt mitä kolmion keskeltä katsoen tarkoittaa, mutta nyt kun on saanut tehtävän tehtyä ja tarkistettua tuntuu että ymmärsin paremmin. Täytyisi opetella liikkumaan pari kertaa edestakaisin niin näkisi ehkä hyödyn tässä.</t>
  </si>
  <si>
    <t>17:40-19:35</t>
  </si>
  <si>
    <t>Viikko 8</t>
  </si>
  <si>
    <t>10:30-11:45, 11:55-13:50, 15:00-16:05, 16:15-18:00</t>
  </si>
  <si>
    <t>Kuvaruutupuskuri tutoriaalikappale.</t>
  </si>
  <si>
    <t>Kuvaruutupuskuri tehtävät, git repon siistiminen, dependencyjen korjaaminen. Kolmiulotteiset tekstuurit ja niistä ympäristön renderöinti. Sisälsi runsaasti virheiden etsintää.</t>
  </si>
  <si>
    <t>Ajatuksena oli käyttää hieman enemmän aikaa - mutta git repo oli niin solmussa että etävarantoon muutosten puskeminen ei onnistunut. Tästä johtuen, kävin korjaustoimenpiteisiin jotka rikkoivat riippuvuudet ja sitä sitten ihmeteltiin. Kyllä siihen ainakin tunti meni.</t>
  </si>
  <si>
    <t xml:space="preserve">Johdanto kolmiulotteisiin tekstuureihin. Nyt tuntuu että ymmärrän kuvaruutupuskurin toiminnan paremmin, ja pintapuolisesti mihin sitä käytetään. Kurssilla alkaa tulla mielenkiintoisempaa asiaa, mutta laajaalti itsestä riippuvista syistä niistä kaikkia ei ehditä kurssin aikana. </t>
  </si>
  <si>
    <t>Pyysin siis 16.2. alkaen 80% sopparia, toiveenani olisi ollut käyttää enemmän aikaa kurssin opiskeluun. Onhan se vähän lisääntynyt, mutta korjausliike tapahtui liian myöhään.</t>
  </si>
  <si>
    <t>Laite tänne kertymä tältä päivältä</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</si>
</sst>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
    <xf numFmtId="0" fontId="0" fillId="0" borderId="0"/>
  </cellStyleXfs>
  <cellXfs count="7">
    <xf numFmtId="0" fontId="0" fillId="0" borderId="0" xfId="0"/>
    <xf numFmtId="0" fontId="1" fillId="0" borderId="1" xfId="0" applyFont="1" applyBorder="1" applyAlignment="1">
      <alignment horizontal="center" vertical="top"/>
    </xf>
    <xf numFmtId="0" fontId="1" fillId="0" borderId="2" xfId="0" applyFont="1" applyBorder="1" applyAlignment="1">
      <alignment horizontal="center" vertical="top"/>
    </xf>
    <xf numFmtId="0" fontId="0" fillId="0" borderId="0" xfId="0" applyAlignment="1">
      <alignment wrapText="1"/>
    </xf>
    <xf numFmtId="16" fontId="0" fillId="0" borderId="0" xfId="0" applyNumberFormat="1" applyAlignment="1">
      <alignment wrapText="1"/>
    </xf>
    <xf numFmtId="16" fontId="0" fillId="0" borderId="0" xfId="0" quotePrefix="1" applyNumberFormat="1"/>
    <xf numFmtId="16" fontId="0" fillId="0" borderId="0" xfId="0" applyNumberFormat="1"/>
  </cellXfs>
  <cellStyles count="1">
    <cellStyle name="Normaali"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ul1"/>
  <dimension ref="A1:J100"/>
  <sheetViews>
    <sheetView tabSelected="1" topLeftCell="B55" zoomScale="70" zoomScaleNormal="70" workbookViewId="0">
      <selection activeCell="H59" sqref="H59"/>
    </sheetView>
  </sheetViews>
  <sheetFormatPr defaultColWidth="8.77734375" defaultRowHeight="14.4" outlineLevelRow="2" outlineLevelCol="1" x14ac:dyDescent="0.3"/>
  <cols>
    <col min="1" max="1" width="15.6640625" customWidth="1"/>
    <col min="2" max="2" width="10.6640625" customWidth="1" outlineLevel="1"/>
    <col min="3" max="3" width="15.77734375" customWidth="1" outlineLevel="1"/>
    <col min="4" max="4" width="55.21875" customWidth="1" outlineLevel="1"/>
    <col min="5" max="5" width="64.6640625" customWidth="1" outlineLevel="1"/>
    <col min="6" max="6" width="65.6640625" customWidth="1" outlineLevel="1"/>
    <col min="7" max="7" width="53.6640625" customWidth="1" outlineLevel="1"/>
    <col min="8" max="8" width="11.33203125" customWidth="1" outlineLevel="1"/>
    <col min="9" max="9" width="15.6640625" customWidth="1" outlineLevel="1"/>
    <col min="10" max="10" width="17" customWidth="1" outlineLevel="1"/>
  </cols>
  <sheetData>
    <row r="1" spans="1:10" x14ac:dyDescent="0.3">
      <c r="A1" s="1" t="s">
        <v>13</v>
      </c>
      <c r="B1" s="1" t="s">
        <v>14</v>
      </c>
      <c r="C1" s="1" t="s">
        <v>21</v>
      </c>
      <c r="D1" s="1" t="s">
        <v>0</v>
      </c>
      <c r="E1" s="1" t="s">
        <v>1</v>
      </c>
      <c r="F1" s="2" t="s">
        <v>16</v>
      </c>
      <c r="G1" s="2" t="s">
        <v>2</v>
      </c>
      <c r="H1" s="2" t="s">
        <v>15</v>
      </c>
      <c r="I1" s="2" t="s">
        <v>54</v>
      </c>
      <c r="J1" s="2" t="s">
        <v>17</v>
      </c>
    </row>
    <row r="2" spans="1:10" ht="90" customHeight="1" x14ac:dyDescent="0.3">
      <c r="A2" t="s">
        <v>18</v>
      </c>
      <c r="J2">
        <f>SUM(I:I)</f>
        <v>92.76666666666668</v>
      </c>
    </row>
    <row r="3" spans="1:10" ht="90" customHeight="1" outlineLevel="1" x14ac:dyDescent="0.3">
      <c r="B3" s="4" t="s">
        <v>10</v>
      </c>
      <c r="C3" t="s">
        <v>52</v>
      </c>
      <c r="D3" s="3" t="s">
        <v>22</v>
      </c>
      <c r="E3" s="3" t="s">
        <v>4</v>
      </c>
      <c r="F3" s="3" t="s">
        <v>3</v>
      </c>
      <c r="G3" s="3" t="s">
        <v>23</v>
      </c>
      <c r="H3" cm="1">
        <f t="array" ref="H3">LaskeTunnitAikavalit(C3)</f>
        <v>4.2500000000000036</v>
      </c>
      <c r="I3">
        <f>SUM(H3:H4)</f>
        <v>9.2500000000000018</v>
      </c>
    </row>
    <row r="4" spans="1:10" ht="90" customHeight="1" outlineLevel="1" x14ac:dyDescent="0.3">
      <c r="A4" s="4"/>
      <c r="B4" s="4" t="s">
        <v>12</v>
      </c>
      <c r="C4" s="5" t="s">
        <v>26</v>
      </c>
      <c r="D4" s="3" t="s">
        <v>5</v>
      </c>
      <c r="E4" s="3" t="s">
        <v>24</v>
      </c>
      <c r="F4" s="3" t="s">
        <v>25</v>
      </c>
      <c r="G4" s="3" t="s">
        <v>36</v>
      </c>
      <c r="H4" s="3" cm="1">
        <f t="array" ref="H4">LaskeTunnitAikavalit(C4)</f>
        <v>4.9999999999999982</v>
      </c>
    </row>
    <row r="5" spans="1:10" ht="90" customHeight="1" x14ac:dyDescent="0.3">
      <c r="A5" s="4" t="s">
        <v>19</v>
      </c>
      <c r="B5" s="3"/>
      <c r="C5" s="3"/>
      <c r="D5" s="3"/>
      <c r="E5" s="3"/>
      <c r="F5" s="3"/>
      <c r="H5" s="6"/>
    </row>
    <row r="6" spans="1:10" ht="90" customHeight="1" outlineLevel="2" x14ac:dyDescent="0.3">
      <c r="A6" s="4"/>
      <c r="B6" s="4" t="s">
        <v>6</v>
      </c>
      <c r="C6" s="3" t="s">
        <v>51</v>
      </c>
      <c r="D6" s="3" t="s">
        <v>27</v>
      </c>
      <c r="E6" s="3" t="s">
        <v>30</v>
      </c>
      <c r="F6" s="3" t="s">
        <v>28</v>
      </c>
      <c r="G6" s="3" t="s">
        <v>29</v>
      </c>
      <c r="H6" cm="1">
        <f t="array" ref="H6">LaskeTunnitAikavalit(C6)</f>
        <v>4.0000000000000018</v>
      </c>
      <c r="I6">
        <f>SUM(H6:H13)</f>
        <v>16.250000000000004</v>
      </c>
    </row>
    <row r="7" spans="1:10" ht="106.95" customHeight="1" outlineLevel="2" x14ac:dyDescent="0.3">
      <c r="A7" s="4"/>
      <c r="B7" s="4" t="s">
        <v>7</v>
      </c>
      <c r="C7" s="3" t="s">
        <v>34</v>
      </c>
      <c r="D7" s="3" t="s">
        <v>35</v>
      </c>
      <c r="E7" s="3" t="s">
        <v>31</v>
      </c>
      <c r="F7" s="3" t="s">
        <v>32</v>
      </c>
      <c r="G7" s="3" t="s">
        <v>33</v>
      </c>
      <c r="H7" cm="1">
        <f t="array" ref="H7">LaskeTunnitAikavalit(C7)</f>
        <v>2.25</v>
      </c>
    </row>
    <row r="8" spans="1:10" ht="90" customHeight="1" outlineLevel="2" x14ac:dyDescent="0.3">
      <c r="A8" s="4"/>
      <c r="B8" s="3" t="s">
        <v>8</v>
      </c>
      <c r="C8" s="3" t="s">
        <v>37</v>
      </c>
      <c r="D8" s="3" t="s">
        <v>38</v>
      </c>
      <c r="E8" s="3" t="s">
        <v>39</v>
      </c>
      <c r="F8" s="3" t="s">
        <v>40</v>
      </c>
      <c r="G8" s="3" t="s">
        <v>41</v>
      </c>
      <c r="H8" cm="1">
        <f t="array" ref="H8">LaskeTunnitAikavalit(C8)</f>
        <v>2.5000000000000018</v>
      </c>
    </row>
    <row r="9" spans="1:10" ht="90" customHeight="1" outlineLevel="2" x14ac:dyDescent="0.3">
      <c r="A9" s="4"/>
      <c r="B9" s="3" t="s">
        <v>9</v>
      </c>
      <c r="C9" s="3" t="s">
        <v>46</v>
      </c>
      <c r="D9" s="3" t="s">
        <v>42</v>
      </c>
      <c r="E9" s="3" t="s">
        <v>43</v>
      </c>
      <c r="F9" s="3" t="s">
        <v>44</v>
      </c>
      <c r="G9" s="3" t="s">
        <v>45</v>
      </c>
      <c r="H9" cm="1">
        <f t="array" ref="H9">LaskeTunnitAikavalit(C9)</f>
        <v>2.5000000000000018</v>
      </c>
    </row>
    <row r="10" spans="1:10" ht="90" customHeight="1" outlineLevel="2" x14ac:dyDescent="0.3">
      <c r="A10" s="4"/>
      <c r="B10" s="3" t="s">
        <v>20</v>
      </c>
      <c r="C10" s="3"/>
      <c r="D10" s="3"/>
      <c r="E10" s="3"/>
      <c r="F10" s="3"/>
    </row>
    <row r="11" spans="1:10" ht="90" customHeight="1" outlineLevel="2" x14ac:dyDescent="0.3">
      <c r="A11" s="3"/>
      <c r="B11" s="3" t="s">
        <v>12</v>
      </c>
      <c r="C11" s="3" t="s">
        <v>53</v>
      </c>
      <c r="D11" s="3" t="s">
        <v>47</v>
      </c>
      <c r="E11" s="3" t="s">
        <v>48</v>
      </c>
      <c r="F11" s="3" t="s">
        <v>49</v>
      </c>
      <c r="G11" s="3" t="s">
        <v>50</v>
      </c>
      <c r="H11" cm="1">
        <f t="array" ref="H11">LaskeTunnitAikavalit(C11)</f>
        <v>1.9999999999999982</v>
      </c>
    </row>
    <row r="12" spans="1:10" ht="90" customHeight="1" outlineLevel="2" x14ac:dyDescent="0.3">
      <c r="A12" s="3"/>
      <c r="B12" s="3" t="s">
        <v>11</v>
      </c>
      <c r="C12" s="3"/>
      <c r="D12" s="3"/>
      <c r="E12" s="3"/>
      <c r="F12" s="3"/>
    </row>
    <row r="13" spans="1:10" ht="90" customHeight="1" outlineLevel="1" x14ac:dyDescent="0.3">
      <c r="A13" s="3" t="s">
        <v>55</v>
      </c>
      <c r="B13" s="3" t="s">
        <v>6</v>
      </c>
      <c r="C13" s="3" t="s">
        <v>59</v>
      </c>
      <c r="D13" s="3" t="s">
        <v>56</v>
      </c>
      <c r="E13" s="3" t="s">
        <v>58</v>
      </c>
      <c r="F13" s="3" t="s">
        <v>57</v>
      </c>
      <c r="H13" cm="1">
        <f t="array" ref="H13">LaskeTunnitAikavalit(C13)</f>
        <v>3</v>
      </c>
      <c r="I13">
        <f>SUM(H13:H19)</f>
        <v>8</v>
      </c>
    </row>
    <row r="14" spans="1:10" ht="90" customHeight="1" outlineLevel="1" x14ac:dyDescent="0.3">
      <c r="A14" s="3"/>
      <c r="B14" s="3" t="s">
        <v>7</v>
      </c>
      <c r="C14" s="3" t="s">
        <v>64</v>
      </c>
      <c r="D14" s="3" t="s">
        <v>60</v>
      </c>
      <c r="E14" s="3" t="s">
        <v>62</v>
      </c>
      <c r="F14" s="3" t="s">
        <v>61</v>
      </c>
      <c r="G14" s="3" t="s">
        <v>63</v>
      </c>
      <c r="H14" cm="1">
        <f t="array" ref="H14">LaskeTunnitAikavalit(C14)</f>
        <v>1.8333333333333348</v>
      </c>
    </row>
    <row r="15" spans="1:10" ht="90" customHeight="1" outlineLevel="1" x14ac:dyDescent="0.3">
      <c r="A15" s="3"/>
      <c r="B15" s="3" t="s">
        <v>8</v>
      </c>
      <c r="C15" s="3" t="s">
        <v>66</v>
      </c>
      <c r="D15" s="3" t="s">
        <v>65</v>
      </c>
      <c r="E15" s="3" t="s">
        <v>67</v>
      </c>
      <c r="F15" s="3" t="s">
        <v>68</v>
      </c>
      <c r="G15" s="3" t="s">
        <v>69</v>
      </c>
      <c r="H15" cm="1">
        <f t="array" ref="H15">LaskeTunnitAikavalit(C15)</f>
        <v>2.166666666666667</v>
      </c>
    </row>
    <row r="16" spans="1:10" ht="90" customHeight="1" outlineLevel="1" x14ac:dyDescent="0.3">
      <c r="A16" s="3"/>
      <c r="B16" s="3" t="s">
        <v>9</v>
      </c>
      <c r="C16" s="3"/>
      <c r="D16" s="3"/>
      <c r="E16" s="3"/>
      <c r="F16" s="3"/>
    </row>
    <row r="17" spans="1:9" ht="90" customHeight="1" outlineLevel="1" x14ac:dyDescent="0.3">
      <c r="A17" s="3"/>
      <c r="B17" s="3" t="s">
        <v>10</v>
      </c>
      <c r="C17" s="3" t="s">
        <v>70</v>
      </c>
      <c r="D17" s="3" t="s">
        <v>71</v>
      </c>
      <c r="E17" s="3" t="s">
        <v>72</v>
      </c>
      <c r="F17" s="3" t="s">
        <v>73</v>
      </c>
      <c r="H17" cm="1">
        <f t="array" ref="H17">LaskeTunnitAikavalit(C17)</f>
        <v>0.99999999999999911</v>
      </c>
    </row>
    <row r="18" spans="1:9" ht="90" customHeight="1" outlineLevel="1" x14ac:dyDescent="0.3">
      <c r="A18" s="3"/>
      <c r="B18" s="3" t="s">
        <v>12</v>
      </c>
      <c r="C18" s="3"/>
      <c r="D18" s="3"/>
      <c r="E18" s="3"/>
      <c r="F18" s="3"/>
    </row>
    <row r="19" spans="1:9" ht="90" customHeight="1" outlineLevel="1" x14ac:dyDescent="0.3">
      <c r="A19" s="3"/>
      <c r="B19" s="3" t="s">
        <v>11</v>
      </c>
      <c r="C19" s="3"/>
      <c r="D19" s="3"/>
      <c r="E19" s="3"/>
      <c r="F19" s="3"/>
    </row>
    <row r="20" spans="1:9" ht="90" customHeight="1" x14ac:dyDescent="0.3">
      <c r="A20" s="3"/>
      <c r="B20" s="3"/>
      <c r="C20" s="3"/>
      <c r="D20" s="3"/>
      <c r="E20" s="3"/>
      <c r="F20" s="3"/>
    </row>
    <row r="21" spans="1:9" ht="90" customHeight="1" outlineLevel="1" x14ac:dyDescent="0.3">
      <c r="A21" s="3" t="s">
        <v>74</v>
      </c>
      <c r="I21">
        <f>SUM(H22:H27)</f>
        <v>11.600000000000001</v>
      </c>
    </row>
    <row r="22" spans="1:9" ht="90" customHeight="1" outlineLevel="2" x14ac:dyDescent="0.3">
      <c r="A22" s="3"/>
      <c r="B22" s="3" t="s">
        <v>6</v>
      </c>
      <c r="C22" s="3" t="s">
        <v>79</v>
      </c>
      <c r="D22" s="3" t="s">
        <v>75</v>
      </c>
      <c r="E22" s="3" t="s">
        <v>76</v>
      </c>
      <c r="F22" s="3" t="s">
        <v>77</v>
      </c>
      <c r="G22" s="3" t="s">
        <v>78</v>
      </c>
      <c r="H22" cm="1">
        <f t="array" ref="H22">LaskeTunnitAikavalit(C22)</f>
        <v>3.4999999999999996</v>
      </c>
    </row>
    <row r="23" spans="1:9" ht="90" customHeight="1" outlineLevel="2" x14ac:dyDescent="0.3">
      <c r="A23" s="3"/>
      <c r="B23" s="3" t="s">
        <v>7</v>
      </c>
      <c r="C23" s="3" t="s">
        <v>80</v>
      </c>
      <c r="D23" s="3" t="s">
        <v>84</v>
      </c>
      <c r="E23" s="3" t="s">
        <v>81</v>
      </c>
      <c r="F23" s="3" t="s">
        <v>82</v>
      </c>
      <c r="H23" cm="1">
        <f t="array" ref="H23">LaskeTunnitAikavalit(C23)</f>
        <v>1.2499999999999982</v>
      </c>
    </row>
    <row r="24" spans="1:9" ht="90" customHeight="1" outlineLevel="2" x14ac:dyDescent="0.3">
      <c r="A24" s="3"/>
      <c r="B24" s="3" t="s">
        <v>8</v>
      </c>
      <c r="C24" s="3" t="s">
        <v>83</v>
      </c>
      <c r="D24" s="3" t="s">
        <v>87</v>
      </c>
      <c r="E24" s="3" t="s">
        <v>85</v>
      </c>
      <c r="F24" s="3" t="s">
        <v>86</v>
      </c>
      <c r="H24" cm="1">
        <f t="array" ref="H24">LaskeTunnitAikavalit(C24)</f>
        <v>1.5000000000000027</v>
      </c>
    </row>
    <row r="25" spans="1:9" ht="90" customHeight="1" outlineLevel="2" x14ac:dyDescent="0.3">
      <c r="A25" s="3"/>
      <c r="B25" s="3" t="s">
        <v>9</v>
      </c>
      <c r="C25" s="3" t="s">
        <v>88</v>
      </c>
      <c r="D25" s="3" t="s">
        <v>89</v>
      </c>
      <c r="E25" s="3" t="s">
        <v>90</v>
      </c>
      <c r="F25" s="3" t="s">
        <v>91</v>
      </c>
      <c r="G25" s="3" t="s">
        <v>92</v>
      </c>
      <c r="H25" cm="1">
        <f t="array" ref="H25">LaskeTunnitAikavalit(C25)</f>
        <v>2.25</v>
      </c>
    </row>
    <row r="26" spans="1:9" ht="90" customHeight="1" outlineLevel="2" x14ac:dyDescent="0.3">
      <c r="A26" s="3"/>
      <c r="B26" s="3" t="s">
        <v>10</v>
      </c>
      <c r="C26" s="3" t="s">
        <v>96</v>
      </c>
      <c r="D26" s="3" t="s">
        <v>97</v>
      </c>
      <c r="E26" s="3" t="s">
        <v>94</v>
      </c>
      <c r="F26" s="3" t="s">
        <v>95</v>
      </c>
      <c r="G26" s="3" t="s">
        <v>93</v>
      </c>
      <c r="H26" cm="1">
        <f t="array" ref="H26">LaskeTunnitAikavalit(C26)</f>
        <v>1.6000000000000023</v>
      </c>
    </row>
    <row r="27" spans="1:9" ht="90" customHeight="1" outlineLevel="2" x14ac:dyDescent="0.3">
      <c r="A27" s="3"/>
      <c r="B27" s="3" t="s">
        <v>11</v>
      </c>
      <c r="C27" s="3" t="s">
        <v>102</v>
      </c>
      <c r="D27" s="3" t="s">
        <v>98</v>
      </c>
      <c r="E27" s="3" t="s">
        <v>99</v>
      </c>
      <c r="F27" s="3" t="s">
        <v>100</v>
      </c>
      <c r="G27" s="3" t="s">
        <v>101</v>
      </c>
      <c r="H27" cm="1">
        <f t="array" ref="H27">LaskeTunnitAikavalit(C27)</f>
        <v>1.5</v>
      </c>
    </row>
    <row r="28" spans="1:9" ht="90" customHeight="1" x14ac:dyDescent="0.3">
      <c r="A28" s="3"/>
    </row>
    <row r="29" spans="1:9" ht="90" customHeight="1" x14ac:dyDescent="0.3">
      <c r="A29" s="3" t="s">
        <v>103</v>
      </c>
      <c r="B29" s="3"/>
      <c r="C29" s="3"/>
      <c r="D29" s="3"/>
      <c r="E29" s="3"/>
      <c r="F29" s="3"/>
    </row>
    <row r="30" spans="1:9" ht="90" customHeight="1" x14ac:dyDescent="0.3">
      <c r="A30" s="3"/>
      <c r="B30" s="3" t="s">
        <v>6</v>
      </c>
      <c r="C30" s="3" t="s">
        <v>104</v>
      </c>
      <c r="D30" s="3" t="s">
        <v>105</v>
      </c>
      <c r="E30" s="3" t="s">
        <v>106</v>
      </c>
      <c r="F30" s="3" t="s">
        <v>107</v>
      </c>
      <c r="H30" cm="1">
        <f t="array" ref="H30">LaskeTunnitAikavalit(C30)</f>
        <v>1.7499999999999991</v>
      </c>
      <c r="I30">
        <f>SUM(H30:H36)</f>
        <v>9.75</v>
      </c>
    </row>
    <row r="31" spans="1:9" ht="90" customHeight="1" x14ac:dyDescent="0.3">
      <c r="A31" s="3"/>
      <c r="B31" s="3" t="s">
        <v>7</v>
      </c>
      <c r="C31" s="3" t="s">
        <v>108</v>
      </c>
      <c r="D31" s="3" t="s">
        <v>109</v>
      </c>
      <c r="E31" s="3" t="s">
        <v>111</v>
      </c>
      <c r="F31" s="3" t="s">
        <v>110</v>
      </c>
      <c r="H31" cm="1">
        <f t="array" ref="H31">LaskeTunnitAikavalit(C31)</f>
        <v>2.0000000000000009</v>
      </c>
    </row>
    <row r="32" spans="1:9" ht="90" customHeight="1" x14ac:dyDescent="0.3">
      <c r="A32" s="3"/>
      <c r="B32" s="3" t="s">
        <v>8</v>
      </c>
      <c r="C32" s="3"/>
      <c r="D32" s="3"/>
      <c r="E32" s="3"/>
      <c r="F32" s="3"/>
    </row>
    <row r="33" spans="1:9" ht="90" customHeight="1" x14ac:dyDescent="0.3">
      <c r="A33" s="3"/>
      <c r="B33" s="3" t="s">
        <v>9</v>
      </c>
      <c r="C33" s="3" t="s">
        <v>112</v>
      </c>
      <c r="D33" s="3" t="s">
        <v>113</v>
      </c>
      <c r="E33" s="3" t="s">
        <v>114</v>
      </c>
      <c r="F33" s="3" t="s">
        <v>116</v>
      </c>
      <c r="G33" s="3" t="s">
        <v>115</v>
      </c>
      <c r="H33" cm="1">
        <f t="array" ref="H33">LaskeTunnitAikavalit(C33)</f>
        <v>2.0000000000000009</v>
      </c>
    </row>
    <row r="34" spans="1:9" ht="90" customHeight="1" x14ac:dyDescent="0.3">
      <c r="A34" s="3"/>
      <c r="B34" s="3" t="s">
        <v>10</v>
      </c>
      <c r="C34" s="3" t="s">
        <v>118</v>
      </c>
      <c r="D34" s="3" t="s">
        <v>117</v>
      </c>
      <c r="E34" s="3" t="s">
        <v>119</v>
      </c>
      <c r="F34" s="3" t="s">
        <v>120</v>
      </c>
      <c r="G34" s="3" t="s">
        <v>121</v>
      </c>
      <c r="H34" cm="1">
        <f t="array" ref="H34">LaskeTunnitAikavalit(C34)</f>
        <v>1.0000000000000018</v>
      </c>
    </row>
    <row r="35" spans="1:9" ht="90" customHeight="1" x14ac:dyDescent="0.3">
      <c r="A35" s="3"/>
      <c r="B35" s="3" t="s">
        <v>12</v>
      </c>
      <c r="C35" s="3" t="s">
        <v>130</v>
      </c>
      <c r="D35" s="3" t="s">
        <v>122</v>
      </c>
      <c r="E35" s="3" t="s">
        <v>123</v>
      </c>
      <c r="F35" s="3" t="s">
        <v>124</v>
      </c>
      <c r="G35" s="3" t="s">
        <v>125</v>
      </c>
      <c r="H35" cm="1">
        <f t="array" ref="H35">LaskeTunnitAikavalit(C35)</f>
        <v>1.9999999999999996</v>
      </c>
    </row>
    <row r="36" spans="1:9" ht="90" customHeight="1" x14ac:dyDescent="0.3">
      <c r="A36" s="3"/>
      <c r="B36" s="3" t="s">
        <v>11</v>
      </c>
      <c r="C36" s="3" t="s">
        <v>129</v>
      </c>
      <c r="D36" s="3" t="s">
        <v>126</v>
      </c>
      <c r="E36" s="3" t="s">
        <v>127</v>
      </c>
      <c r="F36" s="3" t="s">
        <v>131</v>
      </c>
      <c r="G36" s="3" t="s">
        <v>128</v>
      </c>
      <c r="H36" cm="1">
        <f t="array" ref="H36">LaskeTunnitAikavalit(C36)</f>
        <v>0.99999999999999911</v>
      </c>
    </row>
    <row r="37" spans="1:9" ht="90" customHeight="1" x14ac:dyDescent="0.3">
      <c r="A37" s="3" t="s">
        <v>132</v>
      </c>
      <c r="B37" s="3" t="s">
        <v>6</v>
      </c>
      <c r="C37" s="3" t="s">
        <v>136</v>
      </c>
      <c r="D37" s="3" t="s">
        <v>133</v>
      </c>
      <c r="E37" s="3" t="s">
        <v>135</v>
      </c>
      <c r="F37" s="3" t="s">
        <v>134</v>
      </c>
      <c r="G37" s="3" t="s">
        <v>137</v>
      </c>
      <c r="H37" cm="1">
        <f t="array" ref="H37">LaskeTunnitAikavalit(C37)</f>
        <v>4.0833333333333348</v>
      </c>
      <c r="I37">
        <f>SUM(H37:H43)</f>
        <v>12.166666666666664</v>
      </c>
    </row>
    <row r="38" spans="1:9" ht="90" customHeight="1" x14ac:dyDescent="0.3">
      <c r="A38" s="3"/>
      <c r="B38" s="3" t="s">
        <v>7</v>
      </c>
      <c r="C38" s="3" t="s">
        <v>140</v>
      </c>
      <c r="D38" s="3" t="s">
        <v>138</v>
      </c>
      <c r="E38" s="3" t="s">
        <v>139</v>
      </c>
      <c r="F38" s="3"/>
      <c r="G38" s="3" t="s">
        <v>141</v>
      </c>
      <c r="H38" cm="1">
        <f t="array" ref="H38">LaskeTunnitAikavalit(C38)</f>
        <v>3.1666666666666661</v>
      </c>
    </row>
    <row r="39" spans="1:9" ht="90" customHeight="1" x14ac:dyDescent="0.3">
      <c r="A39" s="3"/>
      <c r="B39" s="3" t="s">
        <v>8</v>
      </c>
      <c r="C39" s="3" t="s">
        <v>143</v>
      </c>
      <c r="D39" s="3" t="s">
        <v>142</v>
      </c>
      <c r="E39" s="3" t="s">
        <v>144</v>
      </c>
      <c r="F39" s="3"/>
      <c r="H39" cm="1">
        <f t="array" ref="H39">LaskeTunnitAikavalit(C39)</f>
        <v>2.6666666666666679</v>
      </c>
    </row>
    <row r="40" spans="1:9" ht="90" customHeight="1" x14ac:dyDescent="0.3">
      <c r="A40" s="3"/>
      <c r="B40" s="3" t="s">
        <v>9</v>
      </c>
      <c r="C40" s="3" t="s">
        <v>145</v>
      </c>
      <c r="D40" s="3" t="s">
        <v>146</v>
      </c>
      <c r="E40" s="3" t="s">
        <v>148</v>
      </c>
      <c r="F40" s="3" t="s">
        <v>147</v>
      </c>
      <c r="H40" cm="1">
        <f t="array" ref="H40">LaskeTunnitAikavalit(C40)</f>
        <v>2.2499999999999973</v>
      </c>
    </row>
    <row r="41" spans="1:9" ht="90" customHeight="1" x14ac:dyDescent="0.3">
      <c r="A41" s="3"/>
      <c r="B41" s="3" t="s">
        <v>10</v>
      </c>
      <c r="C41" s="3"/>
      <c r="D41" s="3"/>
      <c r="E41" s="3"/>
      <c r="F41" s="3"/>
    </row>
    <row r="42" spans="1:9" ht="90" customHeight="1" x14ac:dyDescent="0.3">
      <c r="A42" s="3"/>
      <c r="B42" s="3" t="s">
        <v>12</v>
      </c>
      <c r="C42" s="3"/>
      <c r="D42" s="3"/>
      <c r="E42" s="3"/>
      <c r="F42" s="3"/>
    </row>
    <row r="43" spans="1:9" ht="90" customHeight="1" x14ac:dyDescent="0.3">
      <c r="A43" s="3"/>
      <c r="B43" s="3" t="s">
        <v>11</v>
      </c>
      <c r="C43" s="3"/>
      <c r="D43" s="3"/>
      <c r="E43" s="3"/>
      <c r="F43" s="3"/>
    </row>
    <row r="44" spans="1:9" ht="90" customHeight="1" x14ac:dyDescent="0.3">
      <c r="A44" s="3" t="s">
        <v>149</v>
      </c>
      <c r="B44" s="3" t="s">
        <v>6</v>
      </c>
      <c r="C44" s="3" t="s">
        <v>151</v>
      </c>
      <c r="D44" s="3" t="s">
        <v>150</v>
      </c>
      <c r="E44" s="3" t="s">
        <v>153</v>
      </c>
      <c r="F44" s="3" t="s">
        <v>154</v>
      </c>
      <c r="G44" t="s">
        <v>152</v>
      </c>
      <c r="H44" cm="1">
        <f t="array" ref="H44">LaskeTunnitAikavalit(C44)</f>
        <v>2.8333333333333339</v>
      </c>
      <c r="I44">
        <f>SUM(H44:H51)</f>
        <v>10.083333333333329</v>
      </c>
    </row>
    <row r="45" spans="1:9" ht="90" customHeight="1" x14ac:dyDescent="0.3">
      <c r="A45" s="3"/>
      <c r="B45" s="3" t="s">
        <v>7</v>
      </c>
      <c r="C45" s="3" t="s">
        <v>155</v>
      </c>
      <c r="D45" s="3" t="s">
        <v>156</v>
      </c>
      <c r="E45" s="3" t="s">
        <v>157</v>
      </c>
      <c r="F45" s="3" t="s">
        <v>158</v>
      </c>
      <c r="H45" cm="1">
        <f t="array" ref="H45">LaskeTunnitAikavalit(C45)</f>
        <v>2.166666666666667</v>
      </c>
    </row>
    <row r="46" spans="1:9" ht="90" customHeight="1" x14ac:dyDescent="0.3">
      <c r="A46" s="3"/>
      <c r="B46" s="3" t="s">
        <v>8</v>
      </c>
      <c r="C46" s="3" t="s">
        <v>162</v>
      </c>
      <c r="D46" s="3" t="s">
        <v>159</v>
      </c>
      <c r="E46" s="3" t="s">
        <v>160</v>
      </c>
      <c r="F46" s="3" t="s">
        <v>161</v>
      </c>
      <c r="H46" cm="1">
        <f t="array" ref="H46">LaskeTunnitAikavalit(C46)</f>
        <v>2.1666666666666643</v>
      </c>
    </row>
    <row r="47" spans="1:9" ht="90" customHeight="1" x14ac:dyDescent="0.3">
      <c r="A47" s="3"/>
      <c r="B47" s="3" t="s">
        <v>9</v>
      </c>
      <c r="C47" s="3" t="s">
        <v>163</v>
      </c>
      <c r="D47" s="3" t="s">
        <v>164</v>
      </c>
      <c r="E47" s="3" t="s">
        <v>165</v>
      </c>
      <c r="F47" s="3" t="s">
        <v>166</v>
      </c>
      <c r="H47" cm="1">
        <f t="array" ref="H47">LaskeTunnitAikavalit(C47)</f>
        <v>1.3333333333333313</v>
      </c>
    </row>
    <row r="48" spans="1:9" ht="90" customHeight="1" x14ac:dyDescent="0.3">
      <c r="A48" s="3"/>
      <c r="B48" s="3"/>
      <c r="C48" s="3"/>
      <c r="D48" s="3"/>
      <c r="E48" s="3"/>
      <c r="F48" s="3"/>
    </row>
    <row r="49" spans="1:9" ht="90" customHeight="1" x14ac:dyDescent="0.3">
      <c r="A49" s="3"/>
      <c r="B49" s="3"/>
      <c r="C49" s="3"/>
      <c r="D49" s="3"/>
      <c r="E49" s="3"/>
      <c r="F49" s="3"/>
    </row>
    <row r="50" spans="1:9" ht="90" customHeight="1" x14ac:dyDescent="0.3">
      <c r="A50" s="3"/>
      <c r="B50" s="3"/>
      <c r="C50" s="3"/>
      <c r="D50" s="3"/>
      <c r="E50" s="3"/>
      <c r="F50" s="3"/>
    </row>
    <row r="51" spans="1:9" ht="90" customHeight="1" x14ac:dyDescent="0.3">
      <c r="A51" s="3" t="s">
        <v>167</v>
      </c>
      <c r="B51" s="3" t="s">
        <v>6</v>
      </c>
      <c r="C51" s="3" t="s">
        <v>168</v>
      </c>
      <c r="D51" s="3" t="s">
        <v>169</v>
      </c>
      <c r="E51" s="3"/>
      <c r="F51" s="3"/>
      <c r="H51" cm="1">
        <f t="array" ref="H51">LaskeTunnitAikavalit(C51)</f>
        <v>1.583333333333333</v>
      </c>
      <c r="I51">
        <f>SUM(H51:H58)</f>
        <v>15.666666666666664</v>
      </c>
    </row>
    <row r="52" spans="1:9" ht="90" customHeight="1" x14ac:dyDescent="0.3">
      <c r="A52" s="3"/>
      <c r="B52" s="3" t="s">
        <v>7</v>
      </c>
      <c r="C52" s="3" t="s">
        <v>170</v>
      </c>
      <c r="D52" s="3" t="s">
        <v>171</v>
      </c>
      <c r="E52" s="3" t="s">
        <v>172</v>
      </c>
      <c r="F52" s="3"/>
      <c r="H52" cm="1">
        <f t="array" ref="H52">LaskeTunnitAikavalit(C52)</f>
        <v>4.0000000000000018</v>
      </c>
    </row>
    <row r="53" spans="1:9" ht="90" customHeight="1" x14ac:dyDescent="0.3">
      <c r="A53" s="3"/>
      <c r="B53" s="3" t="s">
        <v>8</v>
      </c>
      <c r="C53" s="3" t="s">
        <v>173</v>
      </c>
      <c r="D53" s="3" t="s">
        <v>174</v>
      </c>
      <c r="E53" s="3" t="s">
        <v>175</v>
      </c>
      <c r="F53" s="3"/>
      <c r="H53" cm="1">
        <f t="array" ref="H53">LaskeTunnitAikavalit(C53)</f>
        <v>2.166666666666667</v>
      </c>
    </row>
    <row r="54" spans="1:9" ht="90" customHeight="1" x14ac:dyDescent="0.3">
      <c r="A54" s="3"/>
      <c r="B54" s="3" t="s">
        <v>9</v>
      </c>
      <c r="C54" s="3" t="s">
        <v>178</v>
      </c>
      <c r="D54" s="3" t="s">
        <v>176</v>
      </c>
      <c r="E54" s="3" t="s">
        <v>177</v>
      </c>
      <c r="F54" s="3"/>
      <c r="H54" cm="1">
        <f t="array" ref="H54">LaskeTunnitAikavalit(C54)</f>
        <v>1.9166666666666652</v>
      </c>
    </row>
    <row r="55" spans="1:9" ht="90" customHeight="1" x14ac:dyDescent="0.3">
      <c r="A55" s="3"/>
      <c r="B55" s="3" t="s">
        <v>10</v>
      </c>
      <c r="C55" s="3"/>
      <c r="D55" s="3"/>
      <c r="E55" s="3"/>
      <c r="F55" s="3"/>
    </row>
    <row r="56" spans="1:9" ht="90" customHeight="1" x14ac:dyDescent="0.3">
      <c r="A56" s="3"/>
      <c r="B56" s="3" t="s">
        <v>12</v>
      </c>
      <c r="C56" s="3"/>
      <c r="D56" s="3"/>
      <c r="E56" s="3"/>
      <c r="F56" s="3"/>
    </row>
    <row r="57" spans="1:9" ht="90" customHeight="1" x14ac:dyDescent="0.3">
      <c r="A57" s="3"/>
      <c r="B57" s="3" t="s">
        <v>11</v>
      </c>
      <c r="C57" s="3"/>
      <c r="D57" s="3" t="s">
        <v>181</v>
      </c>
      <c r="E57" s="3"/>
      <c r="F57" s="3"/>
      <c r="G57" t="s">
        <v>186</v>
      </c>
    </row>
    <row r="58" spans="1:9" ht="90" customHeight="1" x14ac:dyDescent="0.3">
      <c r="A58" s="3" t="s">
        <v>179</v>
      </c>
      <c r="B58" s="3" t="s">
        <v>6</v>
      </c>
      <c r="C58" s="3" t="s">
        <v>180</v>
      </c>
      <c r="D58" s="3" t="s">
        <v>182</v>
      </c>
      <c r="E58" s="3" t="s">
        <v>184</v>
      </c>
      <c r="F58" s="3" t="s">
        <v>183</v>
      </c>
      <c r="G58" s="3" t="s">
        <v>185</v>
      </c>
      <c r="H58" cm="1">
        <f t="array" ref="H58">LaskeTunnitAikavalit(C58)</f>
        <v>5.9999999999999956</v>
      </c>
    </row>
    <row r="59" spans="1:9" ht="90" customHeight="1" x14ac:dyDescent="0.3">
      <c r="A59" s="3"/>
      <c r="B59" s="3"/>
      <c r="C59" s="3"/>
      <c r="D59" s="3"/>
      <c r="E59" s="3"/>
      <c r="F59" s="3"/>
    </row>
    <row r="60" spans="1:9" ht="90" customHeight="1" x14ac:dyDescent="0.3">
      <c r="A60" s="3"/>
      <c r="B60" s="3"/>
      <c r="C60" s="3"/>
      <c r="D60" s="3"/>
      <c r="E60" s="3"/>
      <c r="F60" s="3"/>
    </row>
    <row r="61" spans="1:9" ht="90" customHeight="1" x14ac:dyDescent="0.3">
      <c r="A61" s="3"/>
      <c r="B61" s="3"/>
      <c r="C61" s="3"/>
      <c r="D61" s="3"/>
      <c r="E61" s="3"/>
      <c r="F61" s="3"/>
    </row>
    <row r="62" spans="1:9" ht="90" customHeight="1" x14ac:dyDescent="0.3">
      <c r="A62" s="3"/>
      <c r="B62" s="3"/>
      <c r="C62" s="3"/>
      <c r="D62" s="3"/>
      <c r="E62" s="3"/>
      <c r="F62" s="3"/>
    </row>
    <row r="63" spans="1:9" ht="90" customHeight="1" x14ac:dyDescent="0.3">
      <c r="A63" s="3"/>
      <c r="B63" s="3"/>
      <c r="C63" s="3"/>
      <c r="D63" s="3"/>
      <c r="E63" s="3"/>
      <c r="F63" s="3"/>
    </row>
    <row r="64" spans="1:9" ht="90" customHeight="1" x14ac:dyDescent="0.3">
      <c r="A64" s="3"/>
      <c r="B64" s="3"/>
      <c r="C64" s="3"/>
      <c r="D64" s="3"/>
      <c r="E64" s="3"/>
      <c r="F64" s="3"/>
    </row>
    <row r="65" spans="1:6" ht="90" customHeight="1" x14ac:dyDescent="0.3">
      <c r="A65" s="3"/>
      <c r="B65" s="3"/>
      <c r="C65" s="3"/>
      <c r="D65" s="3"/>
      <c r="E65" s="3"/>
      <c r="F65" s="3"/>
    </row>
    <row r="66" spans="1:6" ht="90" customHeight="1" x14ac:dyDescent="0.3">
      <c r="A66" s="3"/>
      <c r="B66" s="3"/>
      <c r="C66" s="3"/>
      <c r="D66" s="3"/>
      <c r="E66" s="3"/>
      <c r="F66" s="3"/>
    </row>
    <row r="67" spans="1:6" ht="90" customHeight="1" x14ac:dyDescent="0.3">
      <c r="A67" s="3"/>
      <c r="B67" s="3"/>
      <c r="C67" s="3"/>
      <c r="D67" s="3"/>
      <c r="E67" s="3"/>
      <c r="F67" s="3"/>
    </row>
    <row r="68" spans="1:6" ht="90" customHeight="1" x14ac:dyDescent="0.3">
      <c r="A68" s="3"/>
      <c r="B68" s="3"/>
      <c r="C68" s="3"/>
      <c r="D68" s="3"/>
      <c r="E68" s="3"/>
      <c r="F68" s="3"/>
    </row>
    <row r="69" spans="1:6" ht="90" customHeight="1" x14ac:dyDescent="0.3">
      <c r="A69" s="3"/>
      <c r="B69" s="3"/>
      <c r="C69" s="3"/>
      <c r="D69" s="3"/>
      <c r="E69" s="3"/>
      <c r="F69" s="3"/>
    </row>
    <row r="70" spans="1:6" ht="90" customHeight="1" x14ac:dyDescent="0.3">
      <c r="A70" s="3"/>
      <c r="B70" s="3"/>
      <c r="C70" s="3"/>
      <c r="D70" s="3"/>
      <c r="E70" s="3"/>
      <c r="F70" s="3"/>
    </row>
    <row r="71" spans="1:6" ht="90" customHeight="1" x14ac:dyDescent="0.3">
      <c r="A71" s="3"/>
      <c r="B71" s="3"/>
      <c r="C71" s="3"/>
      <c r="D71" s="3"/>
      <c r="E71" s="3"/>
      <c r="F71" s="3"/>
    </row>
    <row r="72" spans="1:6" ht="90" customHeight="1" x14ac:dyDescent="0.3">
      <c r="A72" s="3"/>
      <c r="B72" s="3"/>
      <c r="C72" s="3"/>
      <c r="D72" s="3"/>
      <c r="E72" s="3"/>
      <c r="F72" s="3"/>
    </row>
    <row r="73" spans="1:6" ht="90" customHeight="1" x14ac:dyDescent="0.3">
      <c r="A73" s="3"/>
      <c r="B73" s="3"/>
      <c r="C73" s="3"/>
      <c r="D73" s="3"/>
      <c r="E73" s="3"/>
      <c r="F73" s="3"/>
    </row>
    <row r="74" spans="1:6" ht="90" customHeight="1" x14ac:dyDescent="0.3">
      <c r="A74" s="3"/>
      <c r="B74" s="3"/>
      <c r="C74" s="3"/>
      <c r="D74" s="3"/>
      <c r="E74" s="3"/>
      <c r="F74" s="3"/>
    </row>
    <row r="75" spans="1:6" ht="90" customHeight="1" x14ac:dyDescent="0.3">
      <c r="A75" s="3"/>
      <c r="B75" s="3"/>
      <c r="C75" s="3"/>
      <c r="D75" s="3"/>
      <c r="E75" s="3"/>
      <c r="F75" s="3"/>
    </row>
    <row r="76" spans="1:6" ht="90" customHeight="1" x14ac:dyDescent="0.3">
      <c r="A76" s="3"/>
      <c r="B76" s="3"/>
      <c r="C76" s="3"/>
      <c r="D76" s="3"/>
      <c r="E76" s="3"/>
      <c r="F76" s="3"/>
    </row>
    <row r="77" spans="1:6" ht="90" customHeight="1" x14ac:dyDescent="0.3">
      <c r="A77" s="3"/>
      <c r="B77" s="3"/>
      <c r="C77" s="3"/>
      <c r="D77" s="3"/>
      <c r="E77" s="3"/>
      <c r="F77" s="3"/>
    </row>
    <row r="78" spans="1:6" ht="90" customHeight="1" x14ac:dyDescent="0.3">
      <c r="A78" s="3"/>
      <c r="B78" s="3"/>
      <c r="C78" s="3"/>
      <c r="D78" s="3"/>
      <c r="E78" s="3"/>
      <c r="F78" s="3"/>
    </row>
    <row r="79" spans="1:6" ht="90" customHeight="1" x14ac:dyDescent="0.3">
      <c r="A79" s="3"/>
      <c r="B79" s="3"/>
      <c r="C79" s="3"/>
      <c r="D79" s="3"/>
      <c r="E79" s="3"/>
      <c r="F79" s="3"/>
    </row>
    <row r="80" spans="1:6" ht="90" customHeight="1" x14ac:dyDescent="0.3">
      <c r="A80" s="3"/>
      <c r="B80" s="3"/>
      <c r="C80" s="3"/>
      <c r="D80" s="3"/>
      <c r="E80" s="3"/>
      <c r="F80" s="3"/>
    </row>
    <row r="81" spans="1:6" ht="90" customHeight="1" x14ac:dyDescent="0.3">
      <c r="A81" s="3"/>
      <c r="B81" s="3"/>
      <c r="C81" s="3"/>
      <c r="D81" s="3"/>
      <c r="E81" s="3"/>
      <c r="F81" s="3"/>
    </row>
    <row r="82" spans="1:6" ht="90" customHeight="1" x14ac:dyDescent="0.3">
      <c r="A82" s="3"/>
      <c r="B82" s="3"/>
      <c r="C82" s="3"/>
      <c r="D82" s="3"/>
      <c r="E82" s="3"/>
      <c r="F82" s="3"/>
    </row>
    <row r="83" spans="1:6" ht="90" customHeight="1" x14ac:dyDescent="0.3">
      <c r="A83" s="3"/>
      <c r="B83" s="3"/>
      <c r="C83" s="3"/>
      <c r="D83" s="3"/>
      <c r="E83" s="3"/>
      <c r="F83" s="3"/>
    </row>
    <row r="84" spans="1:6" ht="90" customHeight="1" x14ac:dyDescent="0.3">
      <c r="A84" s="3"/>
      <c r="B84" s="3"/>
      <c r="C84" s="3"/>
      <c r="D84" s="3"/>
      <c r="E84" s="3"/>
      <c r="F84" s="3"/>
    </row>
    <row r="85" spans="1:6" ht="90" customHeight="1" x14ac:dyDescent="0.3">
      <c r="A85" s="3"/>
      <c r="B85" s="3"/>
      <c r="C85" s="3"/>
      <c r="D85" s="3"/>
      <c r="E85" s="3"/>
      <c r="F85" s="3"/>
    </row>
    <row r="86" spans="1:6" ht="90" customHeight="1" x14ac:dyDescent="0.3">
      <c r="A86" s="3"/>
      <c r="B86" s="3"/>
      <c r="C86" s="3"/>
      <c r="D86" s="3"/>
      <c r="E86" s="3"/>
      <c r="F86" s="3"/>
    </row>
    <row r="87" spans="1:6" ht="90" customHeight="1" x14ac:dyDescent="0.3">
      <c r="A87" s="3"/>
      <c r="B87" s="3"/>
      <c r="C87" s="3"/>
      <c r="D87" s="3"/>
      <c r="E87" s="3"/>
      <c r="F87" s="3"/>
    </row>
    <row r="88" spans="1:6" ht="90" customHeight="1" x14ac:dyDescent="0.3">
      <c r="A88" s="3"/>
      <c r="B88" s="3"/>
      <c r="C88" s="3"/>
      <c r="D88" s="3"/>
      <c r="E88" s="3"/>
      <c r="F88" s="3"/>
    </row>
    <row r="89" spans="1:6" ht="90" customHeight="1" x14ac:dyDescent="0.3">
      <c r="A89" s="3"/>
      <c r="B89" s="3"/>
      <c r="C89" s="3"/>
      <c r="D89" s="3"/>
      <c r="E89" s="3"/>
      <c r="F89" s="3"/>
    </row>
    <row r="90" spans="1:6" ht="90" customHeight="1" x14ac:dyDescent="0.3">
      <c r="A90" s="3"/>
      <c r="B90" s="3"/>
      <c r="C90" s="3"/>
      <c r="D90" s="3"/>
      <c r="E90" s="3"/>
      <c r="F90" s="3"/>
    </row>
    <row r="91" spans="1:6" ht="90" customHeight="1" x14ac:dyDescent="0.3">
      <c r="A91" s="3"/>
      <c r="B91" s="3"/>
      <c r="C91" s="3"/>
      <c r="D91" s="3"/>
      <c r="E91" s="3"/>
      <c r="F91" s="3"/>
    </row>
    <row r="92" spans="1:6" ht="90" customHeight="1" x14ac:dyDescent="0.3">
      <c r="A92" s="3"/>
      <c r="B92" s="3"/>
      <c r="C92" s="3"/>
      <c r="D92" s="3"/>
      <c r="E92" s="3"/>
      <c r="F92" s="3"/>
    </row>
    <row r="93" spans="1:6" ht="90" customHeight="1" x14ac:dyDescent="0.3">
      <c r="A93" s="3"/>
      <c r="B93" s="3"/>
      <c r="C93" s="3"/>
      <c r="D93" s="3"/>
      <c r="E93" s="3"/>
      <c r="F93" s="3"/>
    </row>
    <row r="94" spans="1:6" ht="90" customHeight="1" x14ac:dyDescent="0.3">
      <c r="A94" s="3"/>
      <c r="B94" s="3"/>
      <c r="C94" s="3"/>
      <c r="D94" s="3"/>
      <c r="E94" s="3"/>
      <c r="F94" s="3"/>
    </row>
    <row r="95" spans="1:6" ht="90" customHeight="1" x14ac:dyDescent="0.3">
      <c r="A95" s="3"/>
      <c r="B95" s="3"/>
      <c r="C95" s="3"/>
      <c r="D95" s="3"/>
      <c r="E95" s="3"/>
      <c r="F95" s="3"/>
    </row>
    <row r="96" spans="1:6" ht="90" customHeight="1" x14ac:dyDescent="0.3">
      <c r="A96" s="3"/>
      <c r="B96" s="3"/>
      <c r="C96" s="3"/>
      <c r="D96" s="3"/>
      <c r="E96" s="3"/>
      <c r="F96" s="3"/>
    </row>
    <row r="97" spans="1:6" ht="90" customHeight="1" x14ac:dyDescent="0.3">
      <c r="A97" s="3"/>
      <c r="B97" s="3"/>
      <c r="C97" s="3"/>
      <c r="D97" s="3"/>
      <c r="E97" s="3"/>
      <c r="F97" s="3"/>
    </row>
    <row r="98" spans="1:6" ht="90" customHeight="1" x14ac:dyDescent="0.3">
      <c r="A98" s="3"/>
      <c r="B98" s="3"/>
      <c r="C98" s="3"/>
      <c r="D98" s="3"/>
      <c r="E98" s="3"/>
      <c r="F98" s="3"/>
    </row>
    <row r="99" spans="1:6" ht="90" customHeight="1" x14ac:dyDescent="0.3">
      <c r="A99" s="3"/>
      <c r="B99" s="3"/>
      <c r="C99" s="3"/>
      <c r="D99" s="3"/>
      <c r="E99" s="3"/>
      <c r="F99" s="3"/>
    </row>
    <row r="100" spans="1:6" ht="90" customHeight="1" x14ac:dyDescent="0.3">
      <c r="A100" s="3"/>
      <c r="B100" s="3"/>
      <c r="C100" s="3"/>
      <c r="D100" s="3"/>
      <c r="E100" s="3"/>
      <c r="F100" s="3"/>
    </row>
  </sheetData>
  <dataConsolidate/>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Laskentataulukot</vt:lpstr>
      </vt:variant>
      <vt:variant>
        <vt:i4>1</vt:i4>
      </vt:variant>
    </vt:vector>
  </HeadingPairs>
  <TitlesOfParts>
    <vt:vector size="1" baseType="lpstr">
      <vt:lpstr>Oppimispäiväkirja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Otso Kangas</cp:lastModifiedBy>
  <dcterms:created xsi:type="dcterms:W3CDTF">2025-01-10T16:29:19Z</dcterms:created>
  <dcterms:modified xsi:type="dcterms:W3CDTF">2025-03-03T16:00:23Z</dcterms:modified>
</cp:coreProperties>
</file>