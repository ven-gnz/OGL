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10119" codeName="{857A39E2-67AF-9BA6-E15C-A4B3A0C75593}"/>
  <workbookPr codeName="TämäTyökirja" defaultThemeVersion="124226"/>
  <mc:AlternateContent xmlns:mc="http://schemas.openxmlformats.org/markup-compatibility/2006">
    <mc:Choice Requires="x15">
      <x15ac:absPath xmlns:x15ac="http://schemas.microsoft.com/office/spreadsheetml/2010/11/ac" url="/Users/otkang/RR/LearnOpenGL/"/>
    </mc:Choice>
  </mc:AlternateContent>
  <xr:revisionPtr revIDLastSave="0" documentId="13_ncr:1_{2BC2680F-7480-3448-A67B-DF4BAD94F67B}" xr6:coauthVersionLast="47" xr6:coauthVersionMax="47" xr10:uidLastSave="{00000000-0000-0000-0000-000000000000}"/>
  <bookViews>
    <workbookView xWindow="20320" yWindow="12400" windowWidth="33200" windowHeight="24460" xr2:uid="{00000000-000D-0000-FFFF-FFFF00000000}"/>
  </bookViews>
  <sheets>
    <sheet name="Oppimispäiväkirja" sheetId="1" r:id="rId1"/>
  </sheets>
  <functionGroups builtInGroupCount="19"/>
  <definedNames>
    <definedName name="_xleta.COUNT" hidden="1" xlm="1">#NAME?</definedName>
    <definedName name="_xleta.SUM" hidden="1" xlm="1">#NAME?</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H21" i="1" l="1" a="1"/>
  <c r="H13" i="1" a="1"/>
  <c r="H14" i="1" a="1"/>
  <c r="H15" i="1" a="1"/>
  <c r="H8" i="1" a="1"/>
  <c r="H11" i="1" a="1"/>
  <c r="H9" i="1" a="1"/>
  <c r="H7" i="1" a="1"/>
  <c r="H6" i="1" a="1"/>
  <c r="H3" i="1" a="1"/>
  <c r="H4" i="1" a="1"/>
  <c r="H17" i="1" a="1"/>
  <c r="H22" i="1" a="1"/>
  <c r="H23" i="1" a="1"/>
  <c r="H24" i="1" a="1"/>
  <c r="H25" i="1" a="1"/>
  <c r="H25" i="1" l="1"/>
  <c r="H24" i="1"/>
  <c r="H23" i="1"/>
  <c r="H22" i="1"/>
  <c r="H21" i="1"/>
  <c r="I21" i="1" s="1"/>
  <c r="H17" i="1"/>
  <c r="H15" i="1"/>
  <c r="H14" i="1"/>
  <c r="I13" i="1" s="1"/>
  <c r="H13" i="1"/>
  <c r="H11" i="1"/>
  <c r="H9" i="1"/>
  <c r="H8" i="1"/>
  <c r="H7" i="1"/>
  <c r="H6" i="1"/>
  <c r="H4" i="1"/>
  <c r="H3" i="1"/>
  <c r="I3" i="1" s="1"/>
  <c r="I6" i="1" l="1"/>
  <c r="J2" i="1" s="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<sst xmlns="http://schemas.openxmlformats.org/spreadsheetml/2006/main" count="113" uniqueCount="98">
  <si>
    <t>Oppimisen sisältö</t>
  </si>
  <si>
    <t>Oppimisen laatu</t>
  </si>
  <si>
    <t>Muut huomiot</t>
  </si>
  <si>
    <t>Tämä on vain pakko tehdä, mutta kaipa se makefilejen muokkaus, konffaus, kääntäjän ja linkkerin toiminta on ohjelmoijan yleissivistystä vaikkei ehkä sitä herkuinta.</t>
  </si>
  <si>
    <t>Aikamoista keppihevostelua ja Stack Overflown kahlaamista. Koitin jotakin taas oppiakin, mutta lienee sitten kurssin ulkopuolella ja edetessä kiinnostusta perehtyä enemmänkin build systemeihin.</t>
  </si>
  <si>
    <t>Hello Triangle. Liukuhihna. Näytönohjaimen toiminta.</t>
  </si>
  <si>
    <t>MA</t>
  </si>
  <si>
    <t>TI</t>
  </si>
  <si>
    <t>KE</t>
  </si>
  <si>
    <t>TO</t>
  </si>
  <si>
    <t>PE</t>
  </si>
  <si>
    <t>SU</t>
  </si>
  <si>
    <t>LA</t>
  </si>
  <si>
    <t>Viikko</t>
  </si>
  <si>
    <t>PVM</t>
  </si>
  <si>
    <t>Tunnit</t>
  </si>
  <si>
    <t>Huomioita koodista</t>
  </si>
  <si>
    <t>Tuntikertymä</t>
  </si>
  <si>
    <t>Viikko 0</t>
  </si>
  <si>
    <t>Viikko 1</t>
  </si>
  <si>
    <t>Pe</t>
  </si>
  <si>
    <t>Kellonajat</t>
  </si>
  <si>
    <t>Tutoriaalin aloitustoimet</t>
  </si>
  <si>
    <t>Nyt on  konffattu ja tyhjä ikkuna näkyy. Huomenna piirretään kolmio. Hyvä ensimmäinen päivä! Huomenna myös repo pystyyn.</t>
  </si>
  <si>
    <t>Nyt ensimmäinen varsinainen opiskelupäivä. Koitin mennä aika hitaasti.  Keskittyminen kohtuullista. Oppimista tapahtui, mutta vähän ehkä pitää vielä "tottua" ennen kuin alkaa huomaamaan mitä oppi ja mitä ei. Jatketaan harjoitusten myötä asian sisäistämistä.</t>
  </si>
  <si>
    <t>Tosiaan se virheen metsästys oli aika työn ja tuskan takana. Koodi on boilerplatea. Dokumentaatio tuli avattua, metodisignatuureja lueskeltu. Koodi ei ollut tänään keskiössä. Noin puolitoista - kaksi tuntia meni hölmön virheen etsimisessä - luulin linkittäneeni varjostimet varjostinohjelmaan.</t>
  </si>
  <si>
    <t>11:15-13:00, 13:50-16:05, 16:30-17:30</t>
  </si>
  <si>
    <t>Johdanto varjostimiin</t>
  </si>
  <si>
    <t>Tuo shader.h ei ole cpp standardin mukaista, mutta siihen otetaan enemmän kantaa huomenna kun syvennytäään tehtäviin. Myös muutenkin voisi harrastaa tuota yhteisten tiedostojen ja konffausten tuomista repossa ylöspäin. Tai ehkä oliis pitänyt tehdä se alun perinkin.</t>
  </si>
  <si>
    <t>Vähän väsyttää! Ei saa liikaa tehdä ja tarkkailla jaksamista ja laatua. Hyvä seuraava päivä, huomenna pirteämpänä ja aikaisemmin aloittaen</t>
  </si>
  <si>
    <t>Keskittyminen kohtuullista. Tutoriaalissa on ongelmana, että aika vähän taustaa ja asiat etenevät aika nopeasti. Ihan jees, tekemiseen keskittynyt. Nyt kuitenkin tänään ymmärsi paremmin eilisen asiat. Seuraillaan tilannetta. Pitänee varmaan alkaa etsimään tutoriaalin tueksi muuta, onneksi hyllystä löytyy RR4 jota voinee pläräillä jahka pääsee tämän kanssa ensin sinuiksi.</t>
  </si>
  <si>
    <t>Johdanto varjostinten parissa jatkuu. Tein tehtävät ja refaktoroin hieman koodia. Siivoilin muutenkin main tiedostoa. Tänään vuorossa oli informaatio dumppaus c++ asioista ja paljon hölmöjen aloittelijavirheiden toistoa. Suuri osa vain syntaksispesifejä juttuja, esim virheilmoituksista en osaa vielä päätellä että minkä tyyppinen typo koodissa on tai merkki väärässä paikkaa. Varsinaista asiasisältöä koen kohtuullisesti sisäistäneeni, sillä varjostinten matematiikka meni kääntyvissä tapauksissa kerralla maaliin.</t>
  </si>
  <si>
    <t>Paljon on unohdettu c++ asioita vuodessa. Konstruktorin näkyvyysmääreet, konstruktorin syntaksi ja olioiden käyttäminen opeteltava kunnolla kurssin kontekstisa nyt ainakin. Onneksi tässä on aikaa vielä oppia kaikki vanha vähä osaaminen nopeasti takaisin.</t>
  </si>
  <si>
    <t>Töistä poistuttu aikaisemmin, jotta ei mene joka päivä aloittaminen liian myöhäseksi. Perjantaina on tehtävä sama ja lopetettava ajoissa, että lauantaina jaksaa sen vähän pidemmän setin. Nyt kun tässä opitaan työkaluja, niin voisi tehdä vaikka ykkösluvun päätteeksi jonkun vähän taiteellisemman tai isomman jutun.</t>
  </si>
  <si>
    <t>16:25-17:45, 18:50-19:45</t>
  </si>
  <si>
    <t>Refaktorointi shader.cpp tiedostoksi. Johdanto varjostimiin tehtävät. Hieman muistiinpanoja tein cpp asioista. Koitan olla liikaa käyttämättä aikaa niihin kurssin aikabudjetista.</t>
  </si>
  <si>
    <t>Kohtuullinen toinen päivä. Konfattu excel macro työtuntien laskemiseen.</t>
  </si>
  <si>
    <t>17:05-18:25,19:30-20:40</t>
  </si>
  <si>
    <t>Johdatus tekstuureihin. Hieman kertailua, erityisesti kärkipistevirta ja cpp buildit, includefilet ja vscode conf.</t>
  </si>
  <si>
    <t>Oppiminen tuntui vähän tahmealta. Täytyy kiinnittää huomiota tauotukseen. En päästänyt itseäni liian helpolla, vaan yritin käydä kertaamassa elementtipuskurin. Kärkipistevirran ymmärrystä syvennetty. Ensimmäinen oikea virhe ajattelussa huomattu, mutta äkkäsin kyllä laajemman kuvan kun reflektoin virhettäni. Nyt ymmärrän varjostimen toimintaa ja käyttöä paremmin.</t>
  </si>
  <si>
    <t xml:space="preserve">Aika OpenGL spesifi päivä. Mieleeni juolahti, että tekstuurin alustamisen voisi eristää omaksi luokakseen ja tehdä headeri. Se voisi olla sopivan suoraviivainen cpp lämmittelyhaaste. Vähän vaikeampi voi olla ikkunan luontiin ja  GLFW koodin vieminen omaksi luokakseen. </t>
  </si>
  <si>
    <t>Tunteja kertyy kohtalaisesti ja oppimista tapahtuu.</t>
  </si>
  <si>
    <t>Tekstuurikappale loppuun tehtävineen. Refaktorointi tekstuuri kääreluokka-olioiksi samaan tapaan kuin shader kappaleessa.</t>
  </si>
  <si>
    <t>Alkuun meinasi mennä aika tahmeasti. Sain psyykattua itseäni pitämällä lyhyitä sessioita ja taukoja alkuun. Loppua kohden jopa ihan hyvää vääntöä. Tekstuurit paremmin hanskassa. C++ pitää ottaa hanskaan myös ja nyt refaktorointi edellä mennään.</t>
  </si>
  <si>
    <t>Koodi parani tänään. Sain toteutettua oman valinnaisen lisähaasteen refaktoroida ja kapseloida. Tietysti tässä aletaan lähestyä Clean Codeilua, mutta niin kauan kuin tässä treenaillaan vain perusjuttuja niin ei haittaa vaikka tuetaan vain yhtä sensible default toteutusta tekstuurille. Cpp standard libraryn opetteluun on käytävä, nyt ollaan stackoverflown, googlen ja laajojen kielimallien varassa kun aika meinaa loppua illoista kesken. Ainakin motivaatiota opetella synnytetään kurssin lomassa.</t>
  </si>
  <si>
    <t>Aika rankka päivä noin energiatasojen puolesta mutta hienosti lähti sujumaan loppua kohden ja motia löytyi.</t>
  </si>
  <si>
    <t>17:55-18:25, 18:30-18:55,19:00-19:25, 19:30-20:40</t>
  </si>
  <si>
    <t xml:space="preserve">Transformations kappale. Matriisioperaatioiden nopea kertaus. Osaan edelleen matriisien kertolaskun. Vapaaehtoinen lisätehtävä taidetepläjäys napakoordinaatein. </t>
  </si>
  <si>
    <t>Ihan hauska oli näperrellä ja pätkytellä. Tuntuu, että näin matikan sivuaineilijalle ei mitään uutta kappaleessa. Vastaavia juttuja tehty TIEA311 ja instanssi demopajassa. Keskittyminen kohtuullista, joskin tämä oli ehkä enemmän pois alta kappale. Johan se olisi toivottavaakin että vektorilaskennan ja lineaarialgebran ym kurssien tällaiset asiat eivät tuota suurempaa tuskaa.</t>
  </si>
  <si>
    <t xml:space="preserve">Pikkuhiljaa alkaa menemään tuota cpp syntaksia takaraivoon. Vapaaehtoinen refaktorointiharjoitustyö viime opintopäivänä auttoi. Nyt ei tullut compile virheitä eikä varoituksia jota pidän hyvänä merkkinä. </t>
  </si>
  <si>
    <t>Lyhyempi setti viikonlopun kunniaksi.</t>
  </si>
  <si>
    <t>8:15-9:45,18:15-19:30,19:45-21:00</t>
  </si>
  <si>
    <t>12:15-14:00,18:15-20:45</t>
  </si>
  <si>
    <t>17:45-18:50, 19:20-20:15</t>
  </si>
  <si>
    <t>Viikkotunnit</t>
  </si>
  <si>
    <t>Viikko 2</t>
  </si>
  <si>
    <t xml:space="preserve">Koordinaatistomuunnokset &amp; järjestelmät. </t>
  </si>
  <si>
    <t>Yritin refaktoroida koodia. Ei kääntyvässä tilassa. Debuggaus huomenna. Segmentaatiovirhe.</t>
  </si>
  <si>
    <t>Pieni ja kevyehkö kertauspäivä. Tekeminen oli varsin hyvää. Vielä on matkaa guruksi kun äkkiä saa kovaankin solmuun kaiken. Itse asian opiskelu meni hyvin.</t>
  </si>
  <si>
    <t>17:25-18:30, 18:40-20:35</t>
  </si>
  <si>
    <t>Johdatus kameraan ja sen puutteeseen OpenGL.</t>
  </si>
  <si>
    <t xml:space="preserve"> Ammuin itseäni jalkaan tuolla eilen aloittamallani refaktoroinnilla. Tarvitaan lisää pohjatietoja ja jotakin tutoriaalin ulkopuolista materiaalia että saan tehtyä halutunlaisen toteutuksen. Nyt en päässyt hyötymään kääreluokasta. Work in progress, ja katsotaan miten paljon on siihen käyttää aikaa. </t>
  </si>
  <si>
    <t xml:space="preserve">Oppimista tapahtui. Rupesi hermostuttamaan omat hölmöt ideat ja lyhytnäköisyys ja toisaalta itsensä johtamisen taitojen puute. Haluaisin osata, mutta en hirveästi jaksa nähdä vaivaa. Kiinnostus kantaa kyllä vielä, mutta tuleeko jossakin vaiheessa se matalampi kynnys kurkata pohjakoodia jos koodi ei käänny... Laatuun panostettava enemmän jatkossa, ja oppiminen itseä varten. Ei tunteja keräillen vaan virkeämpänä. </t>
  </si>
  <si>
    <t>Täytyy välttää ottamasta liian haastavia refaktorointiprojekteja.</t>
  </si>
  <si>
    <t>18:15-18:40,18:45-19:25,19:30-20:15</t>
  </si>
  <si>
    <t>Kameran refaktorointi omaan luokkaansa. Erilaiset cpp kääntäjän virheiden tulkinta</t>
  </si>
  <si>
    <t>18:35-19:35, 19:45-20:55</t>
  </si>
  <si>
    <t>Tutustuttu lisää cpp objekteihin, kääntäjävirheisiin ja mitä sudenkuoppia liittyy siihen että yrittää suoraan refaktoroida tarjotun shader.h tiedoston omaksi luokakseen ja otsaketiedostokseen. Random virheidenmetsästystä. Oppimista tapahtui, ja erityisesti kun sain kääntyvän ohjelman ymmärsin linalg taustani takia etsiä virhettä oikeasta paikasta. Varsinainen asia vähemmällä tänään, cpp päivä.</t>
  </si>
  <si>
    <t>Hitaasti ja varmasti kehittyen. Ei enää 30% laadulla vaan kohti parempaa koodia.</t>
  </si>
  <si>
    <t>Pian getting started paektissa ja kurssia jäljellä noin 100 tuntia. Hyvin lähtenyt liikkeelle.</t>
  </si>
  <si>
    <t>13:30-14:30</t>
  </si>
  <si>
    <t>Kameran tehtävien aloitus</t>
  </si>
  <si>
    <t>Tuli kiire kun ei game jamin takia ehtinyt kunnolla paneutumaan tehtäviin. Kiusaus katsoa mallikoodia oli suuri. Ensi viikolla ajan ja ajatuksen kanssa jatketaan loppuun ja edetään seuraavaan lukuun.</t>
  </si>
  <si>
    <t>Koodi ei semanttisesti oikein, ei mikään ihmeellinen koodipäivä. Outo virhe kameran käytöksessä on myös mallivastauksen mukaisessa, eli virhe löytynee muualta</t>
  </si>
  <si>
    <t>Viikko 3</t>
  </si>
  <si>
    <t>Kameran tehtävät loppuun. Kertausluku. Aamulla miitti.</t>
  </si>
  <si>
    <t>Tekeminen saatu taas palautettua hyvälle tasolle, askel taakse pari eteen. Rauhassa lisää pureksittu kamera-asioita, ja lyhyt kertaus. Huomenna kohti valaistusta.</t>
  </si>
  <si>
    <t>Pientä refaktorointia. Erityisesti tapetilla tänään oli OpenGL column row matriisi viittaus hässäkkä. Ei suuria muutoksia.</t>
  </si>
  <si>
    <t>Miitin vertaistuesta paljon hyötyä, bongasi virheen helpommin.</t>
  </si>
  <si>
    <t>08:15-10:00, 17:10-18:10, 18:20-19:05</t>
  </si>
  <si>
    <t>19:00-19:50, 19:55-20:20</t>
  </si>
  <si>
    <t>Kevyt päivä. Odotan innolla että päästään tekemään siistimpiä juttuja.</t>
  </si>
  <si>
    <t xml:space="preserve">Koodi ei pääosassa tänään. </t>
  </si>
  <si>
    <t>18:20-19:20, 19:30-20:00</t>
  </si>
  <si>
    <t>Lighting chapte aloitus. Hieman kertailua tarpeen mukaan.</t>
  </si>
  <si>
    <t>Oli hauskaa! Virheiden löytäminen nopeutuu, syntyy intuitiota mikä virheen voisi aiheuttaa. Lisää tällaista! Nyt pääsemässä itse asiaan, tosin aika simppeliä vielä. Pohjataitoja keräten.</t>
  </si>
  <si>
    <t>Tiedostopuu täyttyy. Voisi lueskella järkevistä tiedostorakenteista. Toistaiseksi shadereille oma kansio.</t>
  </si>
  <si>
    <t>Basic Lighting tutoriaaliluku.</t>
  </si>
  <si>
    <t>17:55-18:40, 18:55-20:25</t>
  </si>
  <si>
    <t>Basic Lighting tehtävät</t>
  </si>
  <si>
    <t>Oppia taas sai, mutta ei mikään paras vire tänään. Gouraud varjostus sanana tuttu, mutta jonkinnäköistä agressiivisempaa kärkipisteperustaista interpolointia värin laskemiseksi siis näyttäisi olevan. Tulee mieleen PS1 grafiikat.</t>
  </si>
  <si>
    <t>Pienesti kiinnitetty huomiota varjostinohjelmointiin. Lähinnä karsinut turhia muuttujia liikkuessa toteutuksesta toiseen.</t>
  </si>
  <si>
    <t>Aika ripeällä tahdilla menty ja aika paljon virheitä tuntuu syntyvän. Pitäisi käyttää enemmän aikaa koodaustehtävien tekemiseen. Rauhallisempi tahti sopii itselle paremmin, mutta jokainen päivä ei ole samanlainen. Täytyy koittaa tasapainoilla.</t>
  </si>
  <si>
    <t>Väsyneenä kadotin kuution. Mallimatriisi päivitettiin väärään varjostimeen. Seurauksena nollamatriisilla kertominen kadotti näkyvistä valonlähteen. Virheen etsiminen vei tehokasta aikaa.</t>
  </si>
  <si>
    <t>Hienoista kertausta. Jonkin verran samaa asiaa kuin kandissa. Nyt käytännössä. Huomenna tehtävät. Sellainen 70% laatu tekemisessä, on sentään perjantai.</t>
  </si>
  <si>
    <t>Hiukan himottaisi taas sievennellä, jospa siihen löytyisi viikonloppuna aikaa.</t>
  </si>
  <si>
    <t>18:58-19:58, 20:18-20:54</t>
  </si>
  <si>
    <t>Material luku "esiprosessointi". Käyty suurinpiirtein luku lävitse ja tehtävien avulla tarkastetaan huomenna ja jatketaan oppimista.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</si>
</sst>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 x14ac:knownFonts="1">
    <font>
      <sz val="11"/>
      <color theme="1"/>
      <name val="Calibri"/>
      <family val="2"/>
      <scheme val="minor"/>
    </font>
    <font>
      <b/>
      <sz val="11"/>
      <color theme="1"/>
      <name val="Calibri"/>
      <family val="2"/>
      <scheme val="minor"/>
    </font>
  </fonts>
  <fills count="2">
    <fill>
      <patternFill patternType="none"/>
    </fill>
    <fill>
      <patternFill patternType="gray125"/>
    </fill>
  </fills>
  <borders count="3">
    <border>
      <left/>
      <right/>
      <top/>
      <bottom/>
      <diagonal/>
    </border>
    <border>
      <left style="thin">
        <color auto="1"/>
      </left>
      <right style="thin">
        <color auto="1"/>
      </right>
      <top style="thin">
        <color auto="1"/>
      </top>
      <bottom style="thin">
        <color auto="1"/>
      </bottom>
      <diagonal/>
    </border>
    <border>
      <left style="thin">
        <color auto="1"/>
      </left>
      <right style="thin">
        <color auto="1"/>
      </right>
      <top/>
      <bottom/>
      <diagonal/>
    </border>
  </borders>
  <cellStyleXfs count="1">
    <xf numFmtId="0" fontId="0" fillId="0" borderId="0"/>
  </cellStyleXfs>
  <cellXfs count="7">
    <xf numFmtId="0" fontId="0" fillId="0" borderId="0" xfId="0"/>
    <xf numFmtId="0" fontId="1" fillId="0" borderId="1" xfId="0" applyFont="1" applyBorder="1" applyAlignment="1">
      <alignment horizontal="center" vertical="top"/>
    </xf>
    <xf numFmtId="0" fontId="1" fillId="0" borderId="2" xfId="0" applyFont="1" applyBorder="1" applyAlignment="1">
      <alignment horizontal="center" vertical="top"/>
    </xf>
    <xf numFmtId="0" fontId="0" fillId="0" borderId="0" xfId="0" applyAlignment="1">
      <alignment wrapText="1"/>
    </xf>
    <xf numFmtId="16" fontId="0" fillId="0" borderId="0" xfId="0" applyNumberFormat="1" applyAlignment="1">
      <alignment wrapText="1"/>
    </xf>
    <xf numFmtId="16" fontId="0" fillId="0" borderId="0" xfId="0" quotePrefix="1" applyNumberFormat="1"/>
    <xf numFmtId="16" fontId="0" fillId="0" borderId="0" xfId="0" applyNumberFormat="1"/>
  </cellXfs>
  <cellStyles count="1">
    <cellStyle name="Normaali"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7" Type="http://schemas.microsoft.com/office/2006/relationships/vbaProject" Target="vbaProject.bin"/><Relationship Id="rId2"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eetMetadata" Target="metadata.xml"/><Relationship Id="rId4" Type="http://schemas.openxmlformats.org/officeDocument/2006/relationships/sharedStrings" Target="sharedStrings.xml"/></Relationships>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Taul1"/>
  <dimension ref="A1:J100"/>
  <sheetViews>
    <sheetView tabSelected="1" topLeftCell="D2" workbookViewId="0">
      <selection activeCell="D26" sqref="D26"/>
    </sheetView>
  </sheetViews>
  <sheetFormatPr baseColWidth="10" defaultColWidth="8.83203125" defaultRowHeight="15" outlineLevelRow="2" outlineLevelCol="1" x14ac:dyDescent="0.2"/>
  <cols>
    <col min="1" max="1" width="15.6640625" customWidth="1"/>
    <col min="2" max="2" width="10.6640625" customWidth="1" outlineLevel="1"/>
    <col min="3" max="3" width="15.83203125" customWidth="1" outlineLevel="1"/>
    <col min="4" max="4" width="55.1640625" customWidth="1" outlineLevel="1"/>
    <col min="5" max="5" width="64.6640625" customWidth="1" outlineLevel="1"/>
    <col min="6" max="6" width="65.6640625" customWidth="1" outlineLevel="1"/>
    <col min="7" max="7" width="53.6640625" customWidth="1" outlineLevel="1"/>
    <col min="8" max="8" width="11.33203125" customWidth="1" outlineLevel="1"/>
    <col min="9" max="9" width="15.6640625" customWidth="1" outlineLevel="1"/>
    <col min="10" max="10" width="17" customWidth="1" outlineLevel="1"/>
  </cols>
  <sheetData>
    <row r="1" spans="1:10" x14ac:dyDescent="0.2">
      <c r="A1" s="1" t="s">
        <v>13</v>
      </c>
      <c r="B1" s="1" t="s">
        <v>14</v>
      </c>
      <c r="C1" s="1" t="s">
        <v>21</v>
      </c>
      <c r="D1" s="1" t="s">
        <v>0</v>
      </c>
      <c r="E1" s="1" t="s">
        <v>1</v>
      </c>
      <c r="F1" s="2" t="s">
        <v>16</v>
      </c>
      <c r="G1" s="2" t="s">
        <v>2</v>
      </c>
      <c r="H1" s="2" t="s">
        <v>15</v>
      </c>
      <c r="I1" s="2" t="s">
        <v>54</v>
      </c>
      <c r="J1" s="2" t="s">
        <v>17</v>
      </c>
    </row>
    <row r="2" spans="1:10" ht="90" customHeight="1" x14ac:dyDescent="0.2">
      <c r="A2" t="s">
        <v>18</v>
      </c>
      <c r="J2">
        <f>SUM(I:I)</f>
        <v>43.600000000000009</v>
      </c>
    </row>
    <row r="3" spans="1:10" ht="90" hidden="1" customHeight="1" outlineLevel="1" x14ac:dyDescent="0.2">
      <c r="B3" s="4" t="s">
        <v>10</v>
      </c>
      <c r="C3" t="s">
        <v>52</v>
      </c>
      <c r="D3" s="3" t="s">
        <v>22</v>
      </c>
      <c r="E3" s="3" t="s">
        <v>4</v>
      </c>
      <c r="F3" s="3" t="s">
        <v>3</v>
      </c>
      <c r="G3" s="3" t="s">
        <v>23</v>
      </c>
      <c r="H3" cm="1">
        <f t="array" ref="H3">LaskeTunnitAikavalit(C3)</f>
        <v>4.2500000000000036</v>
      </c>
      <c r="I3">
        <f>SUM(H3:H4)</f>
        <v>9.2500000000000018</v>
      </c>
    </row>
    <row r="4" spans="1:10" ht="90" hidden="1" customHeight="1" outlineLevel="1" x14ac:dyDescent="0.2">
      <c r="A4" s="4"/>
      <c r="B4" s="4" t="s">
        <v>12</v>
      </c>
      <c r="C4" s="5" t="s">
        <v>26</v>
      </c>
      <c r="D4" s="3" t="s">
        <v>5</v>
      </c>
      <c r="E4" s="3" t="s">
        <v>24</v>
      </c>
      <c r="F4" s="3" t="s">
        <v>25</v>
      </c>
      <c r="G4" s="3" t="s">
        <v>36</v>
      </c>
      <c r="H4" s="3" cm="1">
        <f t="array" ref="H4">LaskeTunnitAikavalit(C4)</f>
        <v>4.9999999999999982</v>
      </c>
    </row>
    <row r="5" spans="1:10" ht="90" customHeight="1" collapsed="1" x14ac:dyDescent="0.2">
      <c r="A5" s="4" t="s">
        <v>19</v>
      </c>
      <c r="B5" s="3"/>
      <c r="C5" s="3"/>
      <c r="D5" s="3"/>
      <c r="E5" s="3"/>
      <c r="F5" s="3"/>
      <c r="H5" s="6"/>
    </row>
    <row r="6" spans="1:10" ht="90" hidden="1" customHeight="1" outlineLevel="2" x14ac:dyDescent="0.2">
      <c r="A6" s="4"/>
      <c r="B6" s="4" t="s">
        <v>6</v>
      </c>
      <c r="C6" s="3" t="s">
        <v>51</v>
      </c>
      <c r="D6" s="3" t="s">
        <v>27</v>
      </c>
      <c r="E6" s="3" t="s">
        <v>30</v>
      </c>
      <c r="F6" s="3" t="s">
        <v>28</v>
      </c>
      <c r="G6" s="3" t="s">
        <v>29</v>
      </c>
      <c r="H6" cm="1">
        <f t="array" ref="H6">LaskeTunnitAikavalit(C6)</f>
        <v>4.0000000000000018</v>
      </c>
      <c r="I6">
        <f>SUM(H6:H13)</f>
        <v>16.250000000000004</v>
      </c>
    </row>
    <row r="7" spans="1:10" ht="107" hidden="1" customHeight="1" outlineLevel="2" x14ac:dyDescent="0.2">
      <c r="A7" s="4"/>
      <c r="B7" s="4" t="s">
        <v>7</v>
      </c>
      <c r="C7" s="3" t="s">
        <v>34</v>
      </c>
      <c r="D7" s="3" t="s">
        <v>35</v>
      </c>
      <c r="E7" s="3" t="s">
        <v>31</v>
      </c>
      <c r="F7" s="3" t="s">
        <v>32</v>
      </c>
      <c r="G7" s="3" t="s">
        <v>33</v>
      </c>
      <c r="H7" cm="1">
        <f t="array" ref="H7">LaskeTunnitAikavalit(C7)</f>
        <v>2.25</v>
      </c>
    </row>
    <row r="8" spans="1:10" ht="90" hidden="1" customHeight="1" outlineLevel="2" x14ac:dyDescent="0.2">
      <c r="A8" s="4"/>
      <c r="B8" s="3" t="s">
        <v>8</v>
      </c>
      <c r="C8" s="3" t="s">
        <v>37</v>
      </c>
      <c r="D8" s="3" t="s">
        <v>38</v>
      </c>
      <c r="E8" s="3" t="s">
        <v>39</v>
      </c>
      <c r="F8" s="3" t="s">
        <v>40</v>
      </c>
      <c r="G8" s="3" t="s">
        <v>41</v>
      </c>
      <c r="H8" cm="1">
        <f t="array" ref="H8">LaskeTunnitAikavalit(C8)</f>
        <v>2.5000000000000018</v>
      </c>
    </row>
    <row r="9" spans="1:10" ht="90" hidden="1" customHeight="1" outlineLevel="2" x14ac:dyDescent="0.2">
      <c r="A9" s="4"/>
      <c r="B9" s="3" t="s">
        <v>9</v>
      </c>
      <c r="C9" s="3" t="s">
        <v>46</v>
      </c>
      <c r="D9" s="3" t="s">
        <v>42</v>
      </c>
      <c r="E9" s="3" t="s">
        <v>43</v>
      </c>
      <c r="F9" s="3" t="s">
        <v>44</v>
      </c>
      <c r="G9" s="3" t="s">
        <v>45</v>
      </c>
      <c r="H9" cm="1">
        <f t="array" ref="H9">LaskeTunnitAikavalit(C9)</f>
        <v>2.5000000000000018</v>
      </c>
    </row>
    <row r="10" spans="1:10" ht="90" hidden="1" customHeight="1" outlineLevel="2" x14ac:dyDescent="0.2">
      <c r="A10" s="4"/>
      <c r="B10" s="3" t="s">
        <v>20</v>
      </c>
      <c r="C10" s="3"/>
      <c r="D10" s="3"/>
      <c r="E10" s="3"/>
      <c r="F10" s="3"/>
    </row>
    <row r="11" spans="1:10" ht="90" hidden="1" customHeight="1" outlineLevel="2" x14ac:dyDescent="0.2">
      <c r="A11" s="3"/>
      <c r="B11" s="3" t="s">
        <v>12</v>
      </c>
      <c r="C11" s="3" t="s">
        <v>53</v>
      </c>
      <c r="D11" s="3" t="s">
        <v>47</v>
      </c>
      <c r="E11" s="3" t="s">
        <v>48</v>
      </c>
      <c r="F11" s="3" t="s">
        <v>49</v>
      </c>
      <c r="G11" s="3" t="s">
        <v>50</v>
      </c>
      <c r="H11" cm="1">
        <f t="array" ref="H11">LaskeTunnitAikavalit(C11)</f>
        <v>1.9999999999999982</v>
      </c>
    </row>
    <row r="12" spans="1:10" ht="90" hidden="1" customHeight="1" outlineLevel="2" x14ac:dyDescent="0.2">
      <c r="A12" s="3"/>
      <c r="B12" s="3" t="s">
        <v>11</v>
      </c>
      <c r="C12" s="3"/>
      <c r="D12" s="3"/>
      <c r="E12" s="3"/>
      <c r="F12" s="3"/>
    </row>
    <row r="13" spans="1:10" ht="90" hidden="1" customHeight="1" outlineLevel="1" collapsed="1" x14ac:dyDescent="0.2">
      <c r="A13" s="3" t="s">
        <v>55</v>
      </c>
      <c r="B13" s="3" t="s">
        <v>6</v>
      </c>
      <c r="C13" s="3" t="s">
        <v>59</v>
      </c>
      <c r="D13" s="3" t="s">
        <v>56</v>
      </c>
      <c r="E13" s="3" t="s">
        <v>58</v>
      </c>
      <c r="F13" s="3" t="s">
        <v>57</v>
      </c>
      <c r="H13" cm="1">
        <f t="array" ref="H13">LaskeTunnitAikavalit(C13)</f>
        <v>3</v>
      </c>
      <c r="I13">
        <f>SUM(H13:H19)</f>
        <v>8</v>
      </c>
    </row>
    <row r="14" spans="1:10" ht="90" hidden="1" customHeight="1" outlineLevel="1" x14ac:dyDescent="0.2">
      <c r="A14" s="3"/>
      <c r="B14" s="3" t="s">
        <v>7</v>
      </c>
      <c r="C14" s="3" t="s">
        <v>64</v>
      </c>
      <c r="D14" s="3" t="s">
        <v>60</v>
      </c>
      <c r="E14" s="3" t="s">
        <v>62</v>
      </c>
      <c r="F14" s="3" t="s">
        <v>61</v>
      </c>
      <c r="G14" s="3" t="s">
        <v>63</v>
      </c>
      <c r="H14" cm="1">
        <f t="array" ref="H14">LaskeTunnitAikavalit(C14)</f>
        <v>1.8333333333333348</v>
      </c>
    </row>
    <row r="15" spans="1:10" ht="90" hidden="1" customHeight="1" outlineLevel="1" x14ac:dyDescent="0.2">
      <c r="A15" s="3"/>
      <c r="B15" s="3" t="s">
        <v>8</v>
      </c>
      <c r="C15" s="3" t="s">
        <v>66</v>
      </c>
      <c r="D15" s="3" t="s">
        <v>65</v>
      </c>
      <c r="E15" s="3" t="s">
        <v>67</v>
      </c>
      <c r="F15" s="3" t="s">
        <v>68</v>
      </c>
      <c r="G15" s="3" t="s">
        <v>69</v>
      </c>
      <c r="H15" cm="1">
        <f t="array" ref="H15">LaskeTunnitAikavalit(C15)</f>
        <v>2.166666666666667</v>
      </c>
    </row>
    <row r="16" spans="1:10" ht="90" hidden="1" customHeight="1" outlineLevel="1" x14ac:dyDescent="0.2">
      <c r="A16" s="3"/>
      <c r="B16" s="3" t="s">
        <v>9</v>
      </c>
      <c r="C16" s="3"/>
      <c r="D16" s="3"/>
      <c r="E16" s="3"/>
      <c r="F16" s="3"/>
    </row>
    <row r="17" spans="1:9" ht="90" hidden="1" customHeight="1" outlineLevel="1" x14ac:dyDescent="0.2">
      <c r="A17" s="3"/>
      <c r="B17" s="3" t="s">
        <v>10</v>
      </c>
      <c r="C17" s="3" t="s">
        <v>70</v>
      </c>
      <c r="D17" s="3" t="s">
        <v>71</v>
      </c>
      <c r="E17" s="3" t="s">
        <v>72</v>
      </c>
      <c r="F17" s="3" t="s">
        <v>73</v>
      </c>
      <c r="H17" cm="1">
        <f t="array" ref="H17">LaskeTunnitAikavalit(C17)</f>
        <v>0.99999999999999911</v>
      </c>
    </row>
    <row r="18" spans="1:9" ht="90" hidden="1" customHeight="1" outlineLevel="1" x14ac:dyDescent="0.2">
      <c r="A18" s="3"/>
      <c r="B18" s="3" t="s">
        <v>12</v>
      </c>
      <c r="C18" s="3"/>
      <c r="D18" s="3"/>
      <c r="E18" s="3"/>
      <c r="F18" s="3"/>
    </row>
    <row r="19" spans="1:9" ht="90" hidden="1" customHeight="1" outlineLevel="1" x14ac:dyDescent="0.2">
      <c r="A19" s="3"/>
      <c r="B19" s="3" t="s">
        <v>11</v>
      </c>
      <c r="C19" s="3"/>
      <c r="D19" s="3"/>
      <c r="E19" s="3"/>
      <c r="F19" s="3"/>
    </row>
    <row r="20" spans="1:9" ht="90" customHeight="1" collapsed="1" x14ac:dyDescent="0.2">
      <c r="A20" s="3"/>
      <c r="B20" s="3"/>
      <c r="C20" s="3"/>
      <c r="D20" s="3"/>
      <c r="E20" s="3"/>
      <c r="F20" s="3"/>
    </row>
    <row r="21" spans="1:9" ht="90" customHeight="1" x14ac:dyDescent="0.2">
      <c r="A21" s="3" t="s">
        <v>74</v>
      </c>
      <c r="B21" s="3" t="s">
        <v>6</v>
      </c>
      <c r="C21" s="3" t="s">
        <v>79</v>
      </c>
      <c r="D21" s="3" t="s">
        <v>75</v>
      </c>
      <c r="E21" s="3" t="s">
        <v>76</v>
      </c>
      <c r="F21" s="3" t="s">
        <v>77</v>
      </c>
      <c r="G21" s="3" t="s">
        <v>78</v>
      </c>
      <c r="H21" cm="1">
        <f t="array" ref="H21">LaskeTunnitAikavalit(C21)</f>
        <v>3.4999999999999996</v>
      </c>
      <c r="I21">
        <f>SUM(H21:H28)</f>
        <v>10.100000000000001</v>
      </c>
    </row>
    <row r="22" spans="1:9" ht="90" customHeight="1" x14ac:dyDescent="0.2">
      <c r="A22" s="3"/>
      <c r="B22" s="3" t="s">
        <v>7</v>
      </c>
      <c r="C22" s="3" t="s">
        <v>80</v>
      </c>
      <c r="D22" s="3" t="s">
        <v>84</v>
      </c>
      <c r="E22" s="3" t="s">
        <v>81</v>
      </c>
      <c r="F22" s="3" t="s">
        <v>82</v>
      </c>
      <c r="H22" cm="1">
        <f t="array" ref="H22">LaskeTunnitAikavalit(C22)</f>
        <v>1.2499999999999982</v>
      </c>
    </row>
    <row r="23" spans="1:9" ht="90" customHeight="1" x14ac:dyDescent="0.2">
      <c r="A23" s="3"/>
      <c r="B23" s="3" t="s">
        <v>8</v>
      </c>
      <c r="C23" s="3" t="s">
        <v>83</v>
      </c>
      <c r="D23" s="3" t="s">
        <v>87</v>
      </c>
      <c r="E23" s="3" t="s">
        <v>85</v>
      </c>
      <c r="F23" s="3" t="s">
        <v>86</v>
      </c>
      <c r="H23" cm="1">
        <f t="array" ref="H23">LaskeTunnitAikavalit(C23)</f>
        <v>1.5000000000000027</v>
      </c>
    </row>
    <row r="24" spans="1:9" ht="90" customHeight="1" x14ac:dyDescent="0.2">
      <c r="A24" s="3"/>
      <c r="B24" s="3" t="s">
        <v>9</v>
      </c>
      <c r="C24" s="3" t="s">
        <v>88</v>
      </c>
      <c r="D24" s="3" t="s">
        <v>89</v>
      </c>
      <c r="E24" s="3" t="s">
        <v>90</v>
      </c>
      <c r="F24" s="3" t="s">
        <v>91</v>
      </c>
      <c r="G24" s="3" t="s">
        <v>92</v>
      </c>
      <c r="H24" cm="1">
        <f t="array" ref="H24">LaskeTunnitAikavalit(C24)</f>
        <v>2.25</v>
      </c>
    </row>
    <row r="25" spans="1:9" ht="90" customHeight="1" x14ac:dyDescent="0.2">
      <c r="A25" s="3"/>
      <c r="B25" s="3" t="s">
        <v>10</v>
      </c>
      <c r="C25" s="3" t="s">
        <v>96</v>
      </c>
      <c r="D25" s="3" t="s">
        <v>97</v>
      </c>
      <c r="E25" s="3" t="s">
        <v>94</v>
      </c>
      <c r="F25" s="3" t="s">
        <v>95</v>
      </c>
      <c r="G25" s="3" t="s">
        <v>93</v>
      </c>
      <c r="H25" cm="1">
        <f t="array" ref="H25">LaskeTunnitAikavalit(C25)</f>
        <v>1.6000000000000023</v>
      </c>
    </row>
    <row r="26" spans="1:9" ht="90" customHeight="1" x14ac:dyDescent="0.2">
      <c r="A26" s="3"/>
      <c r="B26" s="3" t="s">
        <v>12</v>
      </c>
      <c r="C26" s="3"/>
      <c r="D26" s="3"/>
      <c r="E26" s="3"/>
      <c r="F26" s="3"/>
    </row>
    <row r="27" spans="1:9" ht="90" customHeight="1" x14ac:dyDescent="0.2">
      <c r="A27" s="3"/>
      <c r="B27" s="3" t="s">
        <v>11</v>
      </c>
      <c r="C27" s="3"/>
      <c r="D27" s="3"/>
      <c r="E27" s="3"/>
      <c r="F27" s="3"/>
    </row>
    <row r="28" spans="1:9" ht="90" customHeight="1" x14ac:dyDescent="0.2">
      <c r="A28" s="3"/>
      <c r="B28" s="3"/>
      <c r="C28" s="3"/>
      <c r="D28" s="3"/>
      <c r="E28" s="3"/>
      <c r="F28" s="3"/>
    </row>
    <row r="29" spans="1:9" ht="90" customHeight="1" x14ac:dyDescent="0.2">
      <c r="A29" s="3"/>
      <c r="B29" s="3"/>
      <c r="C29" s="3"/>
      <c r="D29" s="3"/>
      <c r="E29" s="3"/>
      <c r="F29" s="3"/>
    </row>
    <row r="30" spans="1:9" ht="90" customHeight="1" x14ac:dyDescent="0.2">
      <c r="A30" s="3"/>
      <c r="B30" s="3"/>
      <c r="C30" s="3"/>
      <c r="D30" s="3"/>
      <c r="E30" s="3"/>
      <c r="F30" s="3"/>
    </row>
    <row r="31" spans="1:9" ht="90" customHeight="1" x14ac:dyDescent="0.2">
      <c r="A31" s="3"/>
      <c r="B31" s="3"/>
      <c r="C31" s="3"/>
      <c r="D31" s="3"/>
      <c r="E31" s="3"/>
      <c r="F31" s="3"/>
    </row>
    <row r="32" spans="1:9" ht="90" customHeight="1" x14ac:dyDescent="0.2">
      <c r="A32" s="3"/>
      <c r="B32" s="3"/>
      <c r="C32" s="3"/>
      <c r="D32" s="3"/>
      <c r="E32" s="3"/>
      <c r="F32" s="3"/>
    </row>
    <row r="33" spans="1:6" ht="90" customHeight="1" x14ac:dyDescent="0.2">
      <c r="A33" s="3"/>
      <c r="B33" s="3"/>
      <c r="C33" s="3"/>
      <c r="D33" s="3"/>
      <c r="E33" s="3"/>
      <c r="F33" s="3"/>
    </row>
    <row r="34" spans="1:6" ht="90" customHeight="1" x14ac:dyDescent="0.2">
      <c r="A34" s="3"/>
      <c r="B34" s="3"/>
      <c r="C34" s="3"/>
      <c r="D34" s="3"/>
      <c r="E34" s="3"/>
      <c r="F34" s="3"/>
    </row>
    <row r="35" spans="1:6" ht="90" customHeight="1" x14ac:dyDescent="0.2">
      <c r="A35" s="3"/>
      <c r="B35" s="3"/>
      <c r="C35" s="3"/>
      <c r="D35" s="3"/>
      <c r="E35" s="3"/>
      <c r="F35" s="3"/>
    </row>
    <row r="36" spans="1:6" ht="90" customHeight="1" x14ac:dyDescent="0.2">
      <c r="A36" s="3"/>
      <c r="B36" s="3"/>
      <c r="C36" s="3"/>
      <c r="D36" s="3"/>
      <c r="E36" s="3"/>
      <c r="F36" s="3"/>
    </row>
    <row r="37" spans="1:6" ht="90" customHeight="1" x14ac:dyDescent="0.2">
      <c r="A37" s="3"/>
      <c r="B37" s="3"/>
      <c r="C37" s="3"/>
      <c r="D37" s="3"/>
      <c r="E37" s="3"/>
      <c r="F37" s="3"/>
    </row>
    <row r="38" spans="1:6" ht="90" customHeight="1" x14ac:dyDescent="0.2">
      <c r="A38" s="3"/>
      <c r="B38" s="3"/>
      <c r="C38" s="3"/>
      <c r="D38" s="3"/>
      <c r="E38" s="3"/>
      <c r="F38" s="3"/>
    </row>
    <row r="39" spans="1:6" ht="90" customHeight="1" x14ac:dyDescent="0.2">
      <c r="A39" s="3"/>
      <c r="B39" s="3"/>
      <c r="C39" s="3"/>
      <c r="D39" s="3"/>
      <c r="E39" s="3"/>
      <c r="F39" s="3"/>
    </row>
    <row r="40" spans="1:6" ht="90" customHeight="1" x14ac:dyDescent="0.2">
      <c r="A40" s="3"/>
      <c r="B40" s="3"/>
      <c r="C40" s="3"/>
      <c r="D40" s="3"/>
      <c r="E40" s="3"/>
      <c r="F40" s="3"/>
    </row>
    <row r="41" spans="1:6" ht="90" customHeight="1" x14ac:dyDescent="0.2">
      <c r="A41" s="3"/>
      <c r="B41" s="3"/>
      <c r="C41" s="3"/>
      <c r="D41" s="3"/>
      <c r="E41" s="3"/>
      <c r="F41" s="3"/>
    </row>
    <row r="42" spans="1:6" ht="90" customHeight="1" x14ac:dyDescent="0.2">
      <c r="A42" s="3"/>
      <c r="B42" s="3"/>
      <c r="C42" s="3"/>
      <c r="D42" s="3"/>
      <c r="E42" s="3"/>
      <c r="F42" s="3"/>
    </row>
    <row r="43" spans="1:6" ht="90" customHeight="1" x14ac:dyDescent="0.2">
      <c r="A43" s="3"/>
      <c r="B43" s="3"/>
      <c r="C43" s="3"/>
      <c r="D43" s="3"/>
      <c r="E43" s="3"/>
      <c r="F43" s="3"/>
    </row>
    <row r="44" spans="1:6" ht="90" customHeight="1" x14ac:dyDescent="0.2">
      <c r="A44" s="3"/>
      <c r="B44" s="3"/>
      <c r="C44" s="3"/>
      <c r="D44" s="3"/>
      <c r="E44" s="3"/>
      <c r="F44" s="3"/>
    </row>
    <row r="45" spans="1:6" ht="90" customHeight="1" x14ac:dyDescent="0.2">
      <c r="A45" s="3"/>
      <c r="B45" s="3"/>
      <c r="C45" s="3"/>
      <c r="D45" s="3"/>
      <c r="E45" s="3"/>
      <c r="F45" s="3"/>
    </row>
    <row r="46" spans="1:6" ht="90" customHeight="1" x14ac:dyDescent="0.2">
      <c r="A46" s="3"/>
      <c r="B46" s="3"/>
      <c r="C46" s="3"/>
      <c r="D46" s="3"/>
      <c r="E46" s="3"/>
      <c r="F46" s="3"/>
    </row>
    <row r="47" spans="1:6" ht="90" customHeight="1" x14ac:dyDescent="0.2">
      <c r="A47" s="3"/>
      <c r="B47" s="3"/>
      <c r="C47" s="3"/>
      <c r="D47" s="3"/>
      <c r="E47" s="3"/>
      <c r="F47" s="3"/>
    </row>
    <row r="48" spans="1:6" ht="90" customHeight="1" x14ac:dyDescent="0.2">
      <c r="A48" s="3"/>
      <c r="B48" s="3"/>
      <c r="C48" s="3"/>
      <c r="D48" s="3"/>
      <c r="E48" s="3"/>
      <c r="F48" s="3"/>
    </row>
    <row r="49" spans="1:6" ht="90" customHeight="1" x14ac:dyDescent="0.2">
      <c r="A49" s="3"/>
      <c r="B49" s="3"/>
      <c r="C49" s="3"/>
      <c r="D49" s="3"/>
      <c r="E49" s="3"/>
      <c r="F49" s="3"/>
    </row>
    <row r="50" spans="1:6" ht="90" customHeight="1" x14ac:dyDescent="0.2">
      <c r="A50" s="3"/>
      <c r="B50" s="3"/>
      <c r="C50" s="3"/>
      <c r="D50" s="3"/>
      <c r="E50" s="3"/>
      <c r="F50" s="3"/>
    </row>
    <row r="51" spans="1:6" ht="90" customHeight="1" x14ac:dyDescent="0.2">
      <c r="A51" s="3"/>
      <c r="B51" s="3"/>
      <c r="C51" s="3"/>
      <c r="D51" s="3"/>
      <c r="E51" s="3"/>
      <c r="F51" s="3"/>
    </row>
    <row r="52" spans="1:6" ht="90" customHeight="1" x14ac:dyDescent="0.2">
      <c r="A52" s="3"/>
      <c r="B52" s="3"/>
      <c r="C52" s="3"/>
      <c r="D52" s="3"/>
      <c r="E52" s="3"/>
      <c r="F52" s="3"/>
    </row>
    <row r="53" spans="1:6" ht="90" customHeight="1" x14ac:dyDescent="0.2">
      <c r="A53" s="3"/>
      <c r="B53" s="3"/>
      <c r="C53" s="3"/>
      <c r="D53" s="3"/>
      <c r="E53" s="3"/>
      <c r="F53" s="3"/>
    </row>
    <row r="54" spans="1:6" ht="90" customHeight="1" x14ac:dyDescent="0.2">
      <c r="A54" s="3"/>
      <c r="B54" s="3"/>
      <c r="C54" s="3"/>
      <c r="D54" s="3"/>
      <c r="E54" s="3"/>
      <c r="F54" s="3"/>
    </row>
    <row r="55" spans="1:6" ht="90" customHeight="1" x14ac:dyDescent="0.2">
      <c r="A55" s="3"/>
      <c r="B55" s="3"/>
      <c r="C55" s="3"/>
      <c r="D55" s="3"/>
      <c r="E55" s="3"/>
      <c r="F55" s="3"/>
    </row>
    <row r="56" spans="1:6" ht="90" customHeight="1" x14ac:dyDescent="0.2">
      <c r="A56" s="3"/>
      <c r="B56" s="3"/>
      <c r="C56" s="3"/>
      <c r="D56" s="3"/>
      <c r="E56" s="3"/>
      <c r="F56" s="3"/>
    </row>
    <row r="57" spans="1:6" ht="90" customHeight="1" x14ac:dyDescent="0.2">
      <c r="A57" s="3"/>
      <c r="B57" s="3"/>
      <c r="C57" s="3"/>
      <c r="D57" s="3"/>
      <c r="E57" s="3"/>
      <c r="F57" s="3"/>
    </row>
    <row r="58" spans="1:6" ht="90" customHeight="1" x14ac:dyDescent="0.2">
      <c r="A58" s="3"/>
      <c r="B58" s="3"/>
      <c r="C58" s="3"/>
      <c r="D58" s="3"/>
      <c r="E58" s="3"/>
      <c r="F58" s="3"/>
    </row>
    <row r="59" spans="1:6" ht="90" customHeight="1" x14ac:dyDescent="0.2">
      <c r="A59" s="3"/>
      <c r="B59" s="3"/>
      <c r="C59" s="3"/>
      <c r="D59" s="3"/>
      <c r="E59" s="3"/>
      <c r="F59" s="3"/>
    </row>
    <row r="60" spans="1:6" ht="90" customHeight="1" x14ac:dyDescent="0.2">
      <c r="A60" s="3"/>
      <c r="B60" s="3"/>
      <c r="C60" s="3"/>
      <c r="D60" s="3"/>
      <c r="E60" s="3"/>
      <c r="F60" s="3"/>
    </row>
    <row r="61" spans="1:6" ht="90" customHeight="1" x14ac:dyDescent="0.2">
      <c r="A61" s="3"/>
      <c r="B61" s="3"/>
      <c r="C61" s="3"/>
      <c r="D61" s="3"/>
      <c r="E61" s="3"/>
      <c r="F61" s="3"/>
    </row>
    <row r="62" spans="1:6" ht="90" customHeight="1" x14ac:dyDescent="0.2">
      <c r="A62" s="3"/>
      <c r="B62" s="3"/>
      <c r="C62" s="3"/>
      <c r="D62" s="3"/>
      <c r="E62" s="3"/>
      <c r="F62" s="3"/>
    </row>
    <row r="63" spans="1:6" ht="90" customHeight="1" x14ac:dyDescent="0.2">
      <c r="A63" s="3"/>
      <c r="B63" s="3"/>
      <c r="C63" s="3"/>
      <c r="D63" s="3"/>
      <c r="E63" s="3"/>
      <c r="F63" s="3"/>
    </row>
    <row r="64" spans="1:6" ht="90" customHeight="1" x14ac:dyDescent="0.2">
      <c r="A64" s="3"/>
      <c r="B64" s="3"/>
      <c r="C64" s="3"/>
      <c r="D64" s="3"/>
      <c r="E64" s="3"/>
      <c r="F64" s="3"/>
    </row>
    <row r="65" spans="1:6" ht="90" customHeight="1" x14ac:dyDescent="0.2">
      <c r="A65" s="3"/>
      <c r="B65" s="3"/>
      <c r="C65" s="3"/>
      <c r="D65" s="3"/>
      <c r="E65" s="3"/>
      <c r="F65" s="3"/>
    </row>
    <row r="66" spans="1:6" ht="90" customHeight="1" x14ac:dyDescent="0.2">
      <c r="A66" s="3"/>
      <c r="B66" s="3"/>
      <c r="C66" s="3"/>
      <c r="D66" s="3"/>
      <c r="E66" s="3"/>
      <c r="F66" s="3"/>
    </row>
    <row r="67" spans="1:6" ht="90" customHeight="1" x14ac:dyDescent="0.2">
      <c r="A67" s="3"/>
      <c r="B67" s="3"/>
      <c r="C67" s="3"/>
      <c r="D67" s="3"/>
      <c r="E67" s="3"/>
      <c r="F67" s="3"/>
    </row>
    <row r="68" spans="1:6" ht="90" customHeight="1" x14ac:dyDescent="0.2">
      <c r="A68" s="3"/>
      <c r="B68" s="3"/>
      <c r="C68" s="3"/>
      <c r="D68" s="3"/>
      <c r="E68" s="3"/>
      <c r="F68" s="3"/>
    </row>
    <row r="69" spans="1:6" ht="90" customHeight="1" x14ac:dyDescent="0.2">
      <c r="A69" s="3"/>
      <c r="B69" s="3"/>
      <c r="C69" s="3"/>
      <c r="D69" s="3"/>
      <c r="E69" s="3"/>
      <c r="F69" s="3"/>
    </row>
    <row r="70" spans="1:6" ht="90" customHeight="1" x14ac:dyDescent="0.2">
      <c r="A70" s="3"/>
      <c r="B70" s="3"/>
      <c r="C70" s="3"/>
      <c r="D70" s="3"/>
      <c r="E70" s="3"/>
      <c r="F70" s="3"/>
    </row>
    <row r="71" spans="1:6" ht="90" customHeight="1" x14ac:dyDescent="0.2">
      <c r="A71" s="3"/>
      <c r="B71" s="3"/>
      <c r="C71" s="3"/>
      <c r="D71" s="3"/>
      <c r="E71" s="3"/>
      <c r="F71" s="3"/>
    </row>
    <row r="72" spans="1:6" ht="90" customHeight="1" x14ac:dyDescent="0.2">
      <c r="A72" s="3"/>
      <c r="B72" s="3"/>
      <c r="C72" s="3"/>
      <c r="D72" s="3"/>
      <c r="E72" s="3"/>
      <c r="F72" s="3"/>
    </row>
    <row r="73" spans="1:6" ht="90" customHeight="1" x14ac:dyDescent="0.2">
      <c r="A73" s="3"/>
      <c r="B73" s="3"/>
      <c r="C73" s="3"/>
      <c r="D73" s="3"/>
      <c r="E73" s="3"/>
      <c r="F73" s="3"/>
    </row>
    <row r="74" spans="1:6" ht="90" customHeight="1" x14ac:dyDescent="0.2">
      <c r="A74" s="3"/>
      <c r="B74" s="3"/>
      <c r="C74" s="3"/>
      <c r="D74" s="3"/>
      <c r="E74" s="3"/>
      <c r="F74" s="3"/>
    </row>
    <row r="75" spans="1:6" ht="90" customHeight="1" x14ac:dyDescent="0.2">
      <c r="A75" s="3"/>
      <c r="B75" s="3"/>
      <c r="C75" s="3"/>
      <c r="D75" s="3"/>
      <c r="E75" s="3"/>
      <c r="F75" s="3"/>
    </row>
    <row r="76" spans="1:6" ht="90" customHeight="1" x14ac:dyDescent="0.2">
      <c r="A76" s="3"/>
      <c r="B76" s="3"/>
      <c r="C76" s="3"/>
      <c r="D76" s="3"/>
      <c r="E76" s="3"/>
      <c r="F76" s="3"/>
    </row>
    <row r="77" spans="1:6" ht="90" customHeight="1" x14ac:dyDescent="0.2">
      <c r="A77" s="3"/>
      <c r="B77" s="3"/>
      <c r="C77" s="3"/>
      <c r="D77" s="3"/>
      <c r="E77" s="3"/>
      <c r="F77" s="3"/>
    </row>
    <row r="78" spans="1:6" ht="90" customHeight="1" x14ac:dyDescent="0.2">
      <c r="A78" s="3"/>
      <c r="B78" s="3"/>
      <c r="C78" s="3"/>
      <c r="D78" s="3"/>
      <c r="E78" s="3"/>
      <c r="F78" s="3"/>
    </row>
    <row r="79" spans="1:6" ht="90" customHeight="1" x14ac:dyDescent="0.2">
      <c r="A79" s="3"/>
      <c r="B79" s="3"/>
      <c r="C79" s="3"/>
      <c r="D79" s="3"/>
      <c r="E79" s="3"/>
      <c r="F79" s="3"/>
    </row>
    <row r="80" spans="1:6" ht="90" customHeight="1" x14ac:dyDescent="0.2">
      <c r="A80" s="3"/>
      <c r="B80" s="3"/>
      <c r="C80" s="3"/>
      <c r="D80" s="3"/>
      <c r="E80" s="3"/>
      <c r="F80" s="3"/>
    </row>
    <row r="81" spans="1:6" ht="90" customHeight="1" x14ac:dyDescent="0.2">
      <c r="A81" s="3"/>
      <c r="B81" s="3"/>
      <c r="C81" s="3"/>
      <c r="D81" s="3"/>
      <c r="E81" s="3"/>
      <c r="F81" s="3"/>
    </row>
    <row r="82" spans="1:6" ht="90" customHeight="1" x14ac:dyDescent="0.2">
      <c r="A82" s="3"/>
      <c r="B82" s="3"/>
      <c r="C82" s="3"/>
      <c r="D82" s="3"/>
      <c r="E82" s="3"/>
      <c r="F82" s="3"/>
    </row>
    <row r="83" spans="1:6" ht="90" customHeight="1" x14ac:dyDescent="0.2">
      <c r="A83" s="3"/>
      <c r="B83" s="3"/>
      <c r="C83" s="3"/>
      <c r="D83" s="3"/>
      <c r="E83" s="3"/>
      <c r="F83" s="3"/>
    </row>
    <row r="84" spans="1:6" ht="90" customHeight="1" x14ac:dyDescent="0.2">
      <c r="A84" s="3"/>
      <c r="B84" s="3"/>
      <c r="C84" s="3"/>
      <c r="D84" s="3"/>
      <c r="E84" s="3"/>
      <c r="F84" s="3"/>
    </row>
    <row r="85" spans="1:6" ht="90" customHeight="1" x14ac:dyDescent="0.2">
      <c r="A85" s="3"/>
      <c r="B85" s="3"/>
      <c r="C85" s="3"/>
      <c r="D85" s="3"/>
      <c r="E85" s="3"/>
      <c r="F85" s="3"/>
    </row>
    <row r="86" spans="1:6" ht="90" customHeight="1" x14ac:dyDescent="0.2">
      <c r="A86" s="3"/>
      <c r="B86" s="3"/>
      <c r="C86" s="3"/>
      <c r="D86" s="3"/>
      <c r="E86" s="3"/>
      <c r="F86" s="3"/>
    </row>
    <row r="87" spans="1:6" ht="90" customHeight="1" x14ac:dyDescent="0.2">
      <c r="A87" s="3"/>
      <c r="B87" s="3"/>
      <c r="C87" s="3"/>
      <c r="D87" s="3"/>
      <c r="E87" s="3"/>
      <c r="F87" s="3"/>
    </row>
    <row r="88" spans="1:6" ht="90" customHeight="1" x14ac:dyDescent="0.2">
      <c r="A88" s="3"/>
      <c r="B88" s="3"/>
      <c r="C88" s="3"/>
      <c r="D88" s="3"/>
      <c r="E88" s="3"/>
      <c r="F88" s="3"/>
    </row>
    <row r="89" spans="1:6" ht="90" customHeight="1" x14ac:dyDescent="0.2">
      <c r="A89" s="3"/>
      <c r="B89" s="3"/>
      <c r="C89" s="3"/>
      <c r="D89" s="3"/>
      <c r="E89" s="3"/>
      <c r="F89" s="3"/>
    </row>
    <row r="90" spans="1:6" ht="90" customHeight="1" x14ac:dyDescent="0.2">
      <c r="A90" s="3"/>
      <c r="B90" s="3"/>
      <c r="C90" s="3"/>
      <c r="D90" s="3"/>
      <c r="E90" s="3"/>
      <c r="F90" s="3"/>
    </row>
    <row r="91" spans="1:6" ht="90" customHeight="1" x14ac:dyDescent="0.2">
      <c r="A91" s="3"/>
      <c r="B91" s="3"/>
      <c r="C91" s="3"/>
      <c r="D91" s="3"/>
      <c r="E91" s="3"/>
      <c r="F91" s="3"/>
    </row>
    <row r="92" spans="1:6" ht="90" customHeight="1" x14ac:dyDescent="0.2">
      <c r="A92" s="3"/>
      <c r="B92" s="3"/>
      <c r="C92" s="3"/>
      <c r="D92" s="3"/>
      <c r="E92" s="3"/>
      <c r="F92" s="3"/>
    </row>
    <row r="93" spans="1:6" ht="90" customHeight="1" x14ac:dyDescent="0.2">
      <c r="A93" s="3"/>
      <c r="B93" s="3"/>
      <c r="C93" s="3"/>
      <c r="D93" s="3"/>
      <c r="E93" s="3"/>
      <c r="F93" s="3"/>
    </row>
    <row r="94" spans="1:6" ht="90" customHeight="1" x14ac:dyDescent="0.2">
      <c r="A94" s="3"/>
      <c r="B94" s="3"/>
      <c r="C94" s="3"/>
      <c r="D94" s="3"/>
      <c r="E94" s="3"/>
      <c r="F94" s="3"/>
    </row>
    <row r="95" spans="1:6" ht="90" customHeight="1" x14ac:dyDescent="0.2">
      <c r="A95" s="3"/>
      <c r="B95" s="3"/>
      <c r="C95" s="3"/>
      <c r="D95" s="3"/>
      <c r="E95" s="3"/>
      <c r="F95" s="3"/>
    </row>
    <row r="96" spans="1:6" ht="90" customHeight="1" x14ac:dyDescent="0.2">
      <c r="A96" s="3"/>
      <c r="B96" s="3"/>
      <c r="C96" s="3"/>
      <c r="D96" s="3"/>
      <c r="E96" s="3"/>
      <c r="F96" s="3"/>
    </row>
    <row r="97" spans="1:6" ht="90" customHeight="1" x14ac:dyDescent="0.2">
      <c r="A97" s="3"/>
      <c r="B97" s="3"/>
      <c r="C97" s="3"/>
      <c r="D97" s="3"/>
      <c r="E97" s="3"/>
      <c r="F97" s="3"/>
    </row>
    <row r="98" spans="1:6" ht="90" customHeight="1" x14ac:dyDescent="0.2">
      <c r="A98" s="3"/>
      <c r="B98" s="3"/>
      <c r="C98" s="3"/>
      <c r="D98" s="3"/>
      <c r="E98" s="3"/>
      <c r="F98" s="3"/>
    </row>
    <row r="99" spans="1:6" ht="90" customHeight="1" x14ac:dyDescent="0.2">
      <c r="A99" s="3"/>
      <c r="B99" s="3"/>
      <c r="C99" s="3"/>
      <c r="D99" s="3"/>
      <c r="E99" s="3"/>
      <c r="F99" s="3"/>
    </row>
    <row r="100" spans="1:6" ht="90" customHeight="1" x14ac:dyDescent="0.2">
      <c r="A100" s="3"/>
      <c r="B100" s="3"/>
      <c r="C100" s="3"/>
      <c r="D100" s="3"/>
      <c r="E100" s="3"/>
      <c r="F100" s="3"/>
    </row>
  </sheetData>
  <dataConsolidate/>
  <pageMargins left="0.7" right="0.7" top="0.75" bottom="0.75" header="0.3" footer="0.3"/>
  <pageSetup paperSize="9" orientation="portrait" horizontalDpi="0" verticalDpi="0"/>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Laskentataulukot</vt:lpstr>
      </vt:variant>
      <vt:variant>
        <vt:i4>1</vt:i4>
      </vt:variant>
    </vt:vector>
  </HeadingPairs>
  <TitlesOfParts>
    <vt:vector size="1" baseType="lpstr">
      <vt:lpstr>Oppimispäiväkirja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Otso Kangas</cp:lastModifiedBy>
  <dcterms:created xsi:type="dcterms:W3CDTF">2025-01-10T16:29:19Z</dcterms:created>
  <dcterms:modified xsi:type="dcterms:W3CDTF">2025-01-31T18:53:45Z</dcterms:modified>
</cp:coreProperties>
</file>