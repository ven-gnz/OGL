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429" codeName="{899C9086-67A9-5B14-2C2D-5A8001700F7D}"/>
  <workbookPr codeName="TämäTyökirja" defaultThemeVersion="124226"/>
  <mc:AlternateContent xmlns:mc="http://schemas.openxmlformats.org/markup-compatibility/2006">
    <mc:Choice Requires="x15">
      <x15ac:absPath xmlns:x15ac="http://schemas.microsoft.com/office/spreadsheetml/2010/11/ac" url="C:\Users\rapul\RR\OGL\"/>
    </mc:Choice>
  </mc:AlternateContent>
  <xr:revisionPtr revIDLastSave="0" documentId="13_ncr:1_{0D2D9D6F-A5E8-4F52-9B12-7DD63F27ECB5}" xr6:coauthVersionLast="47" xr6:coauthVersionMax="47" xr10:uidLastSave="{00000000-0000-0000-0000-000000000000}"/>
  <bookViews>
    <workbookView xWindow="-110" yWindow="-110" windowWidth="38620" windowHeight="2110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1" i="1" l="1"/>
  <c r="H52" i="1" a="1"/>
  <c r="H51" i="1" a="1"/>
  <c r="H47" i="1" a="1"/>
  <c r="H35" i="1" a="1"/>
  <c r="H15" i="1" a="1"/>
  <c r="H37" i="1" a="1"/>
  <c r="H3" i="1" a="1"/>
  <c r="H6" i="1" a="1"/>
  <c r="H22" i="1" a="1"/>
  <c r="H38" i="1" a="1"/>
  <c r="H14" i="1" a="1"/>
  <c r="H34" i="1" a="1"/>
  <c r="H8" i="1" a="1"/>
  <c r="H23" i="1" a="1"/>
  <c r="H39" i="1" a="1"/>
  <c r="H40" i="1" a="1"/>
  <c r="H7" i="1" a="1"/>
  <c r="H30" i="1" a="1"/>
  <c r="H26" i="1" a="1"/>
  <c r="H4" i="1" a="1"/>
  <c r="H31" i="1" a="1"/>
  <c r="H24" i="1" a="1"/>
  <c r="H44" i="1" a="1"/>
  <c r="H36" i="1" a="1"/>
  <c r="H9" i="1" a="1"/>
  <c r="H17" i="1" a="1"/>
  <c r="H27" i="1" a="1"/>
  <c r="H45" i="1" a="1"/>
  <c r="H33" i="1" a="1"/>
  <c r="H13" i="1" a="1"/>
  <c r="H25" i="1" a="1"/>
  <c r="H46" i="1" a="1"/>
  <c r="H11" i="1" a="1"/>
  <c r="H52" i="1" l="1"/>
  <c r="H51" i="1"/>
  <c r="H11" i="1"/>
  <c r="H46" i="1"/>
  <c r="H25" i="1"/>
  <c r="H13" i="1"/>
  <c r="H33" i="1"/>
  <c r="H45" i="1"/>
  <c r="I44" i="1" s="1"/>
  <c r="H27" i="1"/>
  <c r="H17" i="1"/>
  <c r="H9" i="1"/>
  <c r="H36" i="1"/>
  <c r="H44" i="1"/>
  <c r="H24" i="1"/>
  <c r="H31" i="1"/>
  <c r="H4" i="1"/>
  <c r="H26" i="1"/>
  <c r="H30" i="1"/>
  <c r="I30" i="1" s="1"/>
  <c r="H7" i="1"/>
  <c r="H40" i="1"/>
  <c r="H39" i="1"/>
  <c r="H23" i="1"/>
  <c r="H8" i="1"/>
  <c r="H34" i="1"/>
  <c r="H14" i="1"/>
  <c r="H38" i="1"/>
  <c r="I37" i="1" s="1"/>
  <c r="H22" i="1"/>
  <c r="H6" i="1"/>
  <c r="H3" i="1"/>
  <c r="H37" i="1"/>
  <c r="H15" i="1"/>
  <c r="H35" i="1"/>
  <c r="H47" i="1"/>
  <c r="I3" i="1" l="1"/>
  <c r="I6" i="1"/>
  <c r="I13" i="1"/>
  <c r="I21" i="1"/>
  <c r="J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<sst xmlns="http://schemas.openxmlformats.org/spreadsheetml/2006/main" count="207" uniqueCount="173">
  <si>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</si>
  <si>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</si>
  <si>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</si>
  <si>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</si>
  <si>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</si>
  <si>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</si>
  <si>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</si>
  <si>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</si>
  <si>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</si>
  <si>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</si>
  <si>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</si>
  <si>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</si>
  <si>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</si>
  <si>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</si>
  <si>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</si>
  <si>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</si>
  <si>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</si>
  <si>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</si>
  <si>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</si>
  <si>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</si>
  <si>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</si>
  <si>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</si>
  <si>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</si>
  <si>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</si>
  <si>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</si>
  <si>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</si>
  <si>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</si>
  <si>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</si>
  <si>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</si>
  <si>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</si>
  <si>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</si>
  <si>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</si>
  <si>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</si>
  <si>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</si>
  <si>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</si>
  <si>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</si>
  <si>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</si>
  <si>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</si>
  <si>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</si>
  <si>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</si>
  <si>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</si>
  <si>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</si>
  <si>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</si>
  <si>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</si>
  <si>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</si>
  <si>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</si>
  <si>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</si>
  <si>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</si>
  <si>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</si>
  <si>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</si>
  <si>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</si>
  <si>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</si>
  <si>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</si>
  <si>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</si>
  <si>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</si>
  <si>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</si>
  <si>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</si>
  <si>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</si>
  <si>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</si>
  <si>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</si>
  <si>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</si>
  <si>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</si>
  <si>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</si>
  <si>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</si>
  <si>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</si>
  <si>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</si>
  <si>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</si>
  <si>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</si>
  <si>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</si>
  <si>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</si>
  <si>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</si>
  <si>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</si>
  <si>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</si>
  <si>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</si>
  <si>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</si>
  <si>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</si>
  <si>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</si>
  <si>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</si>
  <si>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</si>
  <si>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</si>
  <si>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</si>
  <si>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</si>
  <si>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</si>
  <si>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</si>
  <si>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</si>
  <si>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</si>
  <si>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</si>
  <si>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</si>
  <si>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</si>
  <si>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</si>
  <si>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</si>
  <si>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</si>
  <si>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</si>
  <si>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</si>
  <si>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</si>
  <si>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</si>
  <si>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</si>
  <si>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</si>
  <si>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</si>
  <si>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</si>
  <si>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</si>
  <si>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</si>
  <si>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</si>
  <si>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</si>
  <si>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</si>
  <si>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</si>
  <si>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</si>
  <si>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</si>
  <si>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</si>
  <si>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</si>
  <si>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</si>
  <si>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</si>
  <si>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</si>
  <si>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</si>
  <si>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</si>
  <si>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</si>
  <si>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</si>
  <si>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</si>
  <si>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</si>
  <si>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</si>
  <si>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</si>
  <si>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</si>
  <si>
    <t>Multiple lights</t>
  </si>
  <si>
    <t>Parempi päivä kuin eilinen. Tosin puuttuvaa puolipistettä sai aika kauan etsiä. Hieno kokonaisuus, mutta vähän ehkä intromainen silti valoihin. Nämä kun ovat oleellisia, ehkä näiden parissa lisää tuolla advanced luvussa.</t>
  </si>
  <si>
    <t>Jotakin pientä mallikoodin ja koodiesimerkkien refaktorointia, mutta se nyt oli muutenkin tämän luvun keskiössä. Huomenna lisää.</t>
  </si>
  <si>
    <t>Sponsored by onnibus.</t>
  </si>
  <si>
    <t>Kertaus valoihin ja multiple lights tehtävä</t>
  </si>
  <si>
    <t>Lyhyt kertauspäivä. Tunnen refaktorintisyyhyn. Valoilmiöiden oppiminen toivottavasti jatkuu myöhemmin. Mutta ainakin nyt tullut kerrattua peruskurssin valoasiat ja osaan ne tehdä varjostimessa. Hyvä jatkaa kohti uudempia asioita.</t>
  </si>
  <si>
    <t>Systemaattisesti jotenkin huomaan, että jatkuvasti tuntuu päivittäin hampaankoloon asioita backlogiin. Ja minä kun luulin, että nyt olisi aikaa syventyä kun jätti töiden ohelle vain yhden kurssin. Täytyy varoa liikaa turhautumasta.</t>
  </si>
  <si>
    <t>16:20-17:20</t>
  </si>
  <si>
    <t>11:40-12:50, 13:15-14:05</t>
  </si>
  <si>
    <t>Huvittaisihan tuohon koskea ja vähän kehnolta näyttää. Tällä viikolla ei ole ollut ehkä aikaa tai kiinnostusta/jaksamista perehtyä tämän enempää.</t>
  </si>
  <si>
    <t>Viikko 5</t>
  </si>
  <si>
    <t>Kanonin macos makefile. Assimp kirjasto. Formattereihin tutustuminen.</t>
  </si>
  <si>
    <t>Tsemppiringin palautteesta johtuen otamme seuraavaa työkalua haltuun eli koodiformaatteria. Vielä se ei taida mitään tehdä.</t>
  </si>
  <si>
    <t xml:space="preserve"> Assimp kirjasto ladattu. Palauteltu mieleen vanhoja TIEA juttuja käsitteiden tasolla. Nyt sitten tuodaan siihen teoriaan jotain mielenkiintoisempia asioita lisää ja ennenkaikkea monikäyttöisempää. </t>
  </si>
  <si>
    <t>08:15- 09:50, 17:30-18:40, 18:50-20:10</t>
  </si>
  <si>
    <t>Yritämme ottaa pienen tsemppauksen, kohti alkuperäisempää tavoitetta käyttää tähän se 130 tuntia.</t>
  </si>
  <si>
    <t>Model loading. Makefilessä palattu taaksepäin - assimp kanssa tuli ongelmia. Manuaalinen copypaste ja debuggaus.</t>
  </si>
  <si>
    <t>Täysin turha päivä. Copy pastesin nopeasti koodit, että sain varmuuden että toimii. Huomenna sulatellaan asiaa ja tehdään header ja cpp. Ja siistitään koodia muutenkin, tai sitten mennään eteenpäin.</t>
  </si>
  <si>
    <t>17:00-18:15,18:20-20:15</t>
  </si>
  <si>
    <t>Helpostihan se näköjään tulee tunteja kun tekee tyhmiä töhöjuttuja. Olisiko windowsilla päässyt helpommalla?</t>
  </si>
  <si>
    <t xml:space="preserve">Model loading jatkuu. Asian sisäistämistä ja model.cpp ja mesh.cpp tiedostojen tekemistä. </t>
  </si>
  <si>
    <t>17:55-18:50,19:00-20:45</t>
  </si>
  <si>
    <t>Cpp haasteita. Mallin lukeminen hyvää kertausta. Kohta pääsee varsinaiseen pihvisisältöön. Erikoisia virheitä cpp mitä ei osaa vielä tulkita : miksi ei voi vain siirtää varsinaista toteutuskoodia headerista cpp:hen? Jotakin viittaussemantiikkaa tässä on tai jotain muuta mitä en edes tiedä terminä. Nyt kuitenkin jo joitakin cpp virheitä onnistunut tulkitsemaan niin kyllä se tästä. Tekemisen laatua painottaen.</t>
  </si>
  <si>
    <t>15:00-16:00,16:15-17:30</t>
  </si>
  <si>
    <t xml:space="preserve">Edellisten päivien model loading pikakelauksen aiheuttamien tuojen selvittelyä. </t>
  </si>
  <si>
    <t>Segfault 0x00000000 on nullpointerexception, kuten TIEA311 muistamme.</t>
  </si>
  <si>
    <t>Tekeminen oli hyvää, lähdin aiemmin töistä tätä varten. C++ päivä. Mesh oli huono valinta tehdä luokaksi, kun sitten niitä pitäisi alustaa ja koodi monimutkaistuisi huomattavasti. Harvemmin niitä kuitenkin muutetaan, joten olisiko jokin struct ratkaisu pitkällä tähtäimellä parempi?</t>
  </si>
  <si>
    <t>Viikko 6</t>
  </si>
  <si>
    <t>Advanced OpenGL. Syvyystestaus, perspektiivimatriisit.</t>
  </si>
  <si>
    <t>16:20-17:40,18:30-20:00</t>
  </si>
  <si>
    <t>Mukava palata opintojen pariin viikonlopun jäljiltä levänneenä. Toivottavasti työajan kevennys näkyy siinä, että opinnot tulee aloitettua ja lopetettua aiemmin saaden niistä enemmän irti.</t>
  </si>
  <si>
    <t>Ensimmäinen "advanced" aidosti uusi asia - tosin en kyllä tekstuureita oppinut käyttämään tiea311 kurssilla. Nyt kun kurssi lähestyy puoltaväliä ajankäytöllisesti hyvä päästä viimein uuden asian pariin. Huomenna tutoriaali loppuun miten tehdään oma perspektiivimuunnosmatriisit ja korvataan pikkuhlijaa glm koodia omalla.</t>
  </si>
  <si>
    <t>Virheiden löytäminen helpottunut kun sitäkin tullut harrastettua. Aika vähä koodia syntyi.</t>
  </si>
  <si>
    <t>17:25-18:35, 18:35-19:35</t>
  </si>
  <si>
    <t>Oma perspektiivimatriisi metodi, tutoriaalin ulkopuolinen lisämateriaali.</t>
  </si>
  <si>
    <t>Minäpystyyvyyttä hankittu! Oma perspektiivimetodi aiheutti onnistumisen kokemuksia.</t>
  </si>
  <si>
    <t>Tänään kirjoitin noin 10 riviä koodia, mutta tuntui että ymmärsin nyt kunnolla perspektiivin ja muutenkin rutinoiduin käyttömatikassa ja itsenäisessä opiskelussa. Erinomaista tekemistä tänään.</t>
  </si>
  <si>
    <t>Siivutustesti. Kohtuullinen ymmärrys mitä sillä tehdään, osasin apinoida perässä. Tutoriaaliluku ja youtube video perään.</t>
  </si>
  <si>
    <t>Kyllä tällä pärjää. Koodi ei ollut keskiössä, eikä juurikaan teknistä osaamista syntynyt. Täytyy tehdä joku visualisaatio tai muu, missä näkee konkreettisemmin asian hyödyn.</t>
  </si>
  <si>
    <t>Taas kerran varjostinten käyttöön hieman rutinoiduttu, eli ongelmien löytäminen nopeutuu.</t>
  </si>
  <si>
    <t>17:40-19:50</t>
  </si>
  <si>
    <t>17:00-18:20</t>
  </si>
  <si>
    <t>Tekstuurien sekoittaminen tutoriaalikappale.</t>
  </si>
  <si>
    <t xml:space="preserve">Kohtuullinen onnibussisessio matkalla assyille. Aktiivisessa lunttaamisessa kehitytty! Kysellen mistä olisi pitänyt ymmärtää tuollainen sinne lässäyttää, ja välillä tuntuu että oletetaan keksivän jonkun jutun mitä ei ehkä keksinyt. Mutta aktiivinen ote pidetään, jos haluaa koodia kopioida sen voi hoitaa joku siitä motivoituneempi. Tänään oli kysymyksenä vain mistä olisi pitänyt saada sopivat arvot kärkipisteille, ja että se olisi omassa taulukossaan. </t>
  </si>
  <si>
    <t>Tietorakenteisiin syvennyttävä. Nyt alkaa tulla uutta ja modernimpaa grafiikka-asiaa, niin huono cpp tuntemus muodostunee jollakin tasolla pullonkaulaksi.</t>
  </si>
  <si>
    <t>Viikko 7</t>
  </si>
  <si>
    <t>08:15-09:50</t>
  </si>
  <si>
    <t>Tsemmpirinki</t>
  </si>
  <si>
    <t>16:00-17:15,18:00-20:45</t>
  </si>
  <si>
    <t>Koneen vaihto windowsiin ja visual studio setup.</t>
  </si>
  <si>
    <t>Opin lisää windows ekosysteemistä, se on parempi. Nyt meni noin neljä tuntia saada jatkettua siitä mihin jäi sisältäen windows päivityksiä ja editorin asennuksen. Konffauksessa kehitytty.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</si>
</sst>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A50" zoomScale="70" zoomScaleNormal="70" workbookViewId="0">
      <selection activeCell="E53" sqref="E53"/>
    </sheetView>
  </sheetViews>
  <sheetFormatPr defaultColWidth="8.81640625" defaultRowHeight="14.5" outlineLevelRow="2" outlineLevelCol="1" x14ac:dyDescent="0.35"/>
  <cols>
    <col min="1" max="1" width="15.6328125" customWidth="1"/>
    <col min="2" max="2" width="10.6328125" customWidth="1" outlineLevel="1"/>
    <col min="3" max="3" width="15.81640625" customWidth="1" outlineLevel="1"/>
    <col min="4" max="4" width="55.1796875" customWidth="1" outlineLevel="1"/>
    <col min="5" max="5" width="64.6328125" customWidth="1" outlineLevel="1"/>
    <col min="6" max="6" width="65.6328125" customWidth="1" outlineLevel="1"/>
    <col min="7" max="7" width="53.6328125" customWidth="1" outlineLevel="1"/>
    <col min="8" max="8" width="11.36328125" customWidth="1" outlineLevel="1"/>
    <col min="9" max="9" width="15.6328125" customWidth="1" outlineLevel="1"/>
    <col min="10" max="10" width="17" customWidth="1" outlineLevel="1"/>
  </cols>
  <sheetData>
    <row r="1" spans="1:10" x14ac:dyDescent="0.35">
      <c r="A1" s="1" t="s">
        <v>13</v>
      </c>
      <c r="B1" s="1" t="s">
        <v>14</v>
      </c>
      <c r="C1" s="1" t="s">
        <v>21</v>
      </c>
      <c r="D1" s="1" t="s">
        <v>0</v>
      </c>
      <c r="E1" s="1" t="s">
        <v>1</v>
      </c>
      <c r="F1" s="2" t="s">
        <v>16</v>
      </c>
      <c r="G1" s="2" t="s">
        <v>2</v>
      </c>
      <c r="H1" s="2" t="s">
        <v>15</v>
      </c>
      <c r="I1" s="2" t="s">
        <v>54</v>
      </c>
      <c r="J1" s="2" t="s">
        <v>17</v>
      </c>
    </row>
    <row r="2" spans="1:10" ht="90" customHeight="1" x14ac:dyDescent="0.35">
      <c r="A2" t="s">
        <v>18</v>
      </c>
      <c r="J2">
        <f>SUM(I:I)</f>
        <v>82.683333333333337</v>
      </c>
    </row>
    <row r="3" spans="1:10" ht="90" customHeight="1" outlineLevel="1" x14ac:dyDescent="0.35">
      <c r="B3" s="4" t="s">
        <v>10</v>
      </c>
      <c r="C3" t="s">
        <v>52</v>
      </c>
      <c r="D3" s="3" t="s">
        <v>22</v>
      </c>
      <c r="E3" s="3" t="s">
        <v>4</v>
      </c>
      <c r="F3" s="3" t="s">
        <v>3</v>
      </c>
      <c r="G3" s="3" t="s">
        <v>23</v>
      </c>
      <c r="H3" cm="1">
        <f t="array" ref="H3">LaskeTunnitAikavalit(C3)</f>
        <v>4.2500000000000036</v>
      </c>
      <c r="I3">
        <f>SUM(H3:H4)</f>
        <v>9.2500000000000018</v>
      </c>
    </row>
    <row r="4" spans="1:10" ht="90" customHeight="1" outlineLevel="1" x14ac:dyDescent="0.35">
      <c r="A4" s="4"/>
      <c r="B4" s="4" t="s">
        <v>12</v>
      </c>
      <c r="C4" s="5" t="s">
        <v>26</v>
      </c>
      <c r="D4" s="3" t="s">
        <v>5</v>
      </c>
      <c r="E4" s="3" t="s">
        <v>24</v>
      </c>
      <c r="F4" s="3" t="s">
        <v>25</v>
      </c>
      <c r="G4" s="3" t="s">
        <v>36</v>
      </c>
      <c r="H4" s="3" cm="1">
        <f t="array" ref="H4">LaskeTunnitAikavalit(C4)</f>
        <v>4.9999999999999982</v>
      </c>
    </row>
    <row r="5" spans="1:10" ht="90" customHeight="1" x14ac:dyDescent="0.35">
      <c r="A5" s="4" t="s">
        <v>19</v>
      </c>
      <c r="B5" s="3"/>
      <c r="C5" s="3"/>
      <c r="D5" s="3"/>
      <c r="E5" s="3"/>
      <c r="F5" s="3"/>
      <c r="H5" s="6"/>
    </row>
    <row r="6" spans="1:10" ht="90" customHeight="1" outlineLevel="2" x14ac:dyDescent="0.35">
      <c r="A6" s="4"/>
      <c r="B6" s="4" t="s">
        <v>6</v>
      </c>
      <c r="C6" s="3" t="s">
        <v>51</v>
      </c>
      <c r="D6" s="3" t="s">
        <v>27</v>
      </c>
      <c r="E6" s="3" t="s">
        <v>30</v>
      </c>
      <c r="F6" s="3" t="s">
        <v>28</v>
      </c>
      <c r="G6" s="3" t="s">
        <v>29</v>
      </c>
      <c r="H6" cm="1">
        <f t="array" ref="H6">LaskeTunnitAikavalit(C6)</f>
        <v>4.0000000000000018</v>
      </c>
      <c r="I6">
        <f>SUM(H6:H13)</f>
        <v>16.250000000000004</v>
      </c>
    </row>
    <row r="7" spans="1:10" ht="107" customHeight="1" outlineLevel="2" x14ac:dyDescent="0.35">
      <c r="A7" s="4"/>
      <c r="B7" s="4" t="s">
        <v>7</v>
      </c>
      <c r="C7" s="3" t="s">
        <v>34</v>
      </c>
      <c r="D7" s="3" t="s">
        <v>35</v>
      </c>
      <c r="E7" s="3" t="s">
        <v>31</v>
      </c>
      <c r="F7" s="3" t="s">
        <v>32</v>
      </c>
      <c r="G7" s="3" t="s">
        <v>33</v>
      </c>
      <c r="H7" cm="1">
        <f t="array" ref="H7">LaskeTunnitAikavalit(C7)</f>
        <v>2.25</v>
      </c>
    </row>
    <row r="8" spans="1:10" ht="90" customHeight="1" outlineLevel="2" x14ac:dyDescent="0.35">
      <c r="A8" s="4"/>
      <c r="B8" s="3" t="s">
        <v>8</v>
      </c>
      <c r="C8" s="3" t="s">
        <v>37</v>
      </c>
      <c r="D8" s="3" t="s">
        <v>38</v>
      </c>
      <c r="E8" s="3" t="s">
        <v>39</v>
      </c>
      <c r="F8" s="3" t="s">
        <v>40</v>
      </c>
      <c r="G8" s="3" t="s">
        <v>41</v>
      </c>
      <c r="H8" cm="1">
        <f t="array" ref="H8">LaskeTunnitAikavalit(C8)</f>
        <v>2.5000000000000018</v>
      </c>
    </row>
    <row r="9" spans="1:10" ht="90" customHeight="1" outlineLevel="2" x14ac:dyDescent="0.35">
      <c r="A9" s="4"/>
      <c r="B9" s="3" t="s">
        <v>9</v>
      </c>
      <c r="C9" s="3" t="s">
        <v>46</v>
      </c>
      <c r="D9" s="3" t="s">
        <v>42</v>
      </c>
      <c r="E9" s="3" t="s">
        <v>43</v>
      </c>
      <c r="F9" s="3" t="s">
        <v>44</v>
      </c>
      <c r="G9" s="3" t="s">
        <v>45</v>
      </c>
      <c r="H9" cm="1">
        <f t="array" ref="H9">LaskeTunnitAikavalit(C9)</f>
        <v>2.5000000000000018</v>
      </c>
    </row>
    <row r="10" spans="1:10" ht="90" customHeight="1" outlineLevel="2" x14ac:dyDescent="0.35">
      <c r="A10" s="4"/>
      <c r="B10" s="3" t="s">
        <v>20</v>
      </c>
      <c r="C10" s="3"/>
      <c r="D10" s="3"/>
      <c r="E10" s="3"/>
      <c r="F10" s="3"/>
    </row>
    <row r="11" spans="1:10" ht="90" customHeight="1" outlineLevel="2" x14ac:dyDescent="0.35">
      <c r="A11" s="3"/>
      <c r="B11" s="3" t="s">
        <v>12</v>
      </c>
      <c r="C11" s="3" t="s">
        <v>53</v>
      </c>
      <c r="D11" s="3" t="s">
        <v>47</v>
      </c>
      <c r="E11" s="3" t="s">
        <v>48</v>
      </c>
      <c r="F11" s="3" t="s">
        <v>49</v>
      </c>
      <c r="G11" s="3" t="s">
        <v>50</v>
      </c>
      <c r="H11" cm="1">
        <f t="array" ref="H11">LaskeTunnitAikavalit(C11)</f>
        <v>1.9999999999999982</v>
      </c>
    </row>
    <row r="12" spans="1:10" ht="90" customHeight="1" outlineLevel="2" x14ac:dyDescent="0.35">
      <c r="A12" s="3"/>
      <c r="B12" s="3" t="s">
        <v>11</v>
      </c>
      <c r="C12" s="3"/>
      <c r="D12" s="3"/>
      <c r="E12" s="3"/>
      <c r="F12" s="3"/>
    </row>
    <row r="13" spans="1:10" ht="90" customHeight="1" outlineLevel="1" x14ac:dyDescent="0.35">
      <c r="A13" s="3" t="s">
        <v>55</v>
      </c>
      <c r="B13" s="3" t="s">
        <v>6</v>
      </c>
      <c r="C13" s="3" t="s">
        <v>59</v>
      </c>
      <c r="D13" s="3" t="s">
        <v>56</v>
      </c>
      <c r="E13" s="3" t="s">
        <v>58</v>
      </c>
      <c r="F13" s="3" t="s">
        <v>57</v>
      </c>
      <c r="H13" cm="1">
        <f t="array" ref="H13">LaskeTunnitAikavalit(C13)</f>
        <v>3</v>
      </c>
      <c r="I13">
        <f>SUM(H13:H19)</f>
        <v>8</v>
      </c>
    </row>
    <row r="14" spans="1:10" ht="90" customHeight="1" outlineLevel="1" x14ac:dyDescent="0.35">
      <c r="A14" s="3"/>
      <c r="B14" s="3" t="s">
        <v>7</v>
      </c>
      <c r="C14" s="3" t="s">
        <v>64</v>
      </c>
      <c r="D14" s="3" t="s">
        <v>60</v>
      </c>
      <c r="E14" s="3" t="s">
        <v>62</v>
      </c>
      <c r="F14" s="3" t="s">
        <v>61</v>
      </c>
      <c r="G14" s="3" t="s">
        <v>63</v>
      </c>
      <c r="H14" cm="1">
        <f t="array" ref="H14">LaskeTunnitAikavalit(C14)</f>
        <v>1.8333333333333348</v>
      </c>
    </row>
    <row r="15" spans="1:10" ht="90" customHeight="1" outlineLevel="1" x14ac:dyDescent="0.35">
      <c r="A15" s="3"/>
      <c r="B15" s="3" t="s">
        <v>8</v>
      </c>
      <c r="C15" s="3" t="s">
        <v>66</v>
      </c>
      <c r="D15" s="3" t="s">
        <v>65</v>
      </c>
      <c r="E15" s="3" t="s">
        <v>67</v>
      </c>
      <c r="F15" s="3" t="s">
        <v>68</v>
      </c>
      <c r="G15" s="3" t="s">
        <v>69</v>
      </c>
      <c r="H15" cm="1">
        <f t="array" ref="H15">LaskeTunnitAikavalit(C15)</f>
        <v>2.166666666666667</v>
      </c>
    </row>
    <row r="16" spans="1:10" ht="90" customHeight="1" outlineLevel="1" x14ac:dyDescent="0.35">
      <c r="A16" s="3"/>
      <c r="B16" s="3" t="s">
        <v>9</v>
      </c>
      <c r="C16" s="3"/>
      <c r="D16" s="3"/>
      <c r="E16" s="3"/>
      <c r="F16" s="3"/>
    </row>
    <row r="17" spans="1:9" ht="90" customHeight="1" outlineLevel="1" x14ac:dyDescent="0.35">
      <c r="A17" s="3"/>
      <c r="B17" s="3" t="s">
        <v>10</v>
      </c>
      <c r="C17" s="3" t="s">
        <v>70</v>
      </c>
      <c r="D17" s="3" t="s">
        <v>71</v>
      </c>
      <c r="E17" s="3" t="s">
        <v>72</v>
      </c>
      <c r="F17" s="3" t="s">
        <v>73</v>
      </c>
      <c r="H17" cm="1">
        <f t="array" ref="H17">LaskeTunnitAikavalit(C17)</f>
        <v>0.99999999999999911</v>
      </c>
    </row>
    <row r="18" spans="1:9" ht="90" customHeight="1" outlineLevel="1" x14ac:dyDescent="0.35">
      <c r="A18" s="3"/>
      <c r="B18" s="3" t="s">
        <v>12</v>
      </c>
      <c r="C18" s="3"/>
      <c r="D18" s="3"/>
      <c r="E18" s="3"/>
      <c r="F18" s="3"/>
    </row>
    <row r="19" spans="1:9" ht="90" customHeight="1" outlineLevel="1" x14ac:dyDescent="0.35">
      <c r="A19" s="3"/>
      <c r="B19" s="3" t="s">
        <v>11</v>
      </c>
      <c r="C19" s="3"/>
      <c r="D19" s="3"/>
      <c r="E19" s="3"/>
      <c r="F19" s="3"/>
    </row>
    <row r="20" spans="1:9" ht="90" customHeight="1" x14ac:dyDescent="0.35">
      <c r="A20" s="3"/>
      <c r="B20" s="3"/>
      <c r="C20" s="3"/>
      <c r="D20" s="3"/>
      <c r="E20" s="3"/>
      <c r="F20" s="3"/>
    </row>
    <row r="21" spans="1:9" ht="90" customHeight="1" outlineLevel="1" x14ac:dyDescent="0.35">
      <c r="A21" s="3" t="s">
        <v>74</v>
      </c>
      <c r="I21">
        <f>SUM(H22:H27)</f>
        <v>11.600000000000001</v>
      </c>
    </row>
    <row r="22" spans="1:9" ht="90" customHeight="1" outlineLevel="2" x14ac:dyDescent="0.35">
      <c r="A22" s="3"/>
      <c r="B22" s="3" t="s">
        <v>6</v>
      </c>
      <c r="C22" s="3" t="s">
        <v>79</v>
      </c>
      <c r="D22" s="3" t="s">
        <v>75</v>
      </c>
      <c r="E22" s="3" t="s">
        <v>76</v>
      </c>
      <c r="F22" s="3" t="s">
        <v>77</v>
      </c>
      <c r="G22" s="3" t="s">
        <v>78</v>
      </c>
      <c r="H22" cm="1">
        <f t="array" ref="H22">LaskeTunnitAikavalit(C22)</f>
        <v>3.4999999999999996</v>
      </c>
    </row>
    <row r="23" spans="1:9" ht="90" customHeight="1" outlineLevel="2" x14ac:dyDescent="0.35">
      <c r="A23" s="3"/>
      <c r="B23" s="3" t="s">
        <v>7</v>
      </c>
      <c r="C23" s="3" t="s">
        <v>80</v>
      </c>
      <c r="D23" s="3" t="s">
        <v>84</v>
      </c>
      <c r="E23" s="3" t="s">
        <v>81</v>
      </c>
      <c r="F23" s="3" t="s">
        <v>82</v>
      </c>
      <c r="H23" cm="1">
        <f t="array" ref="H23">LaskeTunnitAikavalit(C23)</f>
        <v>1.2499999999999982</v>
      </c>
    </row>
    <row r="24" spans="1:9" ht="90" customHeight="1" outlineLevel="2" x14ac:dyDescent="0.35">
      <c r="A24" s="3"/>
      <c r="B24" s="3" t="s">
        <v>8</v>
      </c>
      <c r="C24" s="3" t="s">
        <v>83</v>
      </c>
      <c r="D24" s="3" t="s">
        <v>87</v>
      </c>
      <c r="E24" s="3" t="s">
        <v>85</v>
      </c>
      <c r="F24" s="3" t="s">
        <v>86</v>
      </c>
      <c r="H24" cm="1">
        <f t="array" ref="H24">LaskeTunnitAikavalit(C24)</f>
        <v>1.5000000000000027</v>
      </c>
    </row>
    <row r="25" spans="1:9" ht="90" customHeight="1" outlineLevel="2" x14ac:dyDescent="0.35">
      <c r="A25" s="3"/>
      <c r="B25" s="3" t="s">
        <v>9</v>
      </c>
      <c r="C25" s="3" t="s">
        <v>88</v>
      </c>
      <c r="D25" s="3" t="s">
        <v>89</v>
      </c>
      <c r="E25" s="3" t="s">
        <v>90</v>
      </c>
      <c r="F25" s="3" t="s">
        <v>91</v>
      </c>
      <c r="G25" s="3" t="s">
        <v>92</v>
      </c>
      <c r="H25" cm="1">
        <f t="array" ref="H25">LaskeTunnitAikavalit(C25)</f>
        <v>2.25</v>
      </c>
    </row>
    <row r="26" spans="1:9" ht="90" customHeight="1" outlineLevel="2" x14ac:dyDescent="0.35">
      <c r="A26" s="3"/>
      <c r="B26" s="3" t="s">
        <v>10</v>
      </c>
      <c r="C26" s="3" t="s">
        <v>96</v>
      </c>
      <c r="D26" s="3" t="s">
        <v>97</v>
      </c>
      <c r="E26" s="3" t="s">
        <v>94</v>
      </c>
      <c r="F26" s="3" t="s">
        <v>95</v>
      </c>
      <c r="G26" s="3" t="s">
        <v>93</v>
      </c>
      <c r="H26" cm="1">
        <f t="array" ref="H26">LaskeTunnitAikavalit(C26)</f>
        <v>1.6000000000000023</v>
      </c>
    </row>
    <row r="27" spans="1:9" ht="90" customHeight="1" outlineLevel="2" x14ac:dyDescent="0.35">
      <c r="A27" s="3"/>
      <c r="B27" s="3" t="s">
        <v>11</v>
      </c>
      <c r="C27" s="3" t="s">
        <v>102</v>
      </c>
      <c r="D27" s="3" t="s">
        <v>98</v>
      </c>
      <c r="E27" s="3" t="s">
        <v>99</v>
      </c>
      <c r="F27" s="3" t="s">
        <v>100</v>
      </c>
      <c r="G27" s="3" t="s">
        <v>101</v>
      </c>
      <c r="H27" cm="1">
        <f t="array" ref="H27">LaskeTunnitAikavalit(C27)</f>
        <v>1.5</v>
      </c>
    </row>
    <row r="28" spans="1:9" ht="90" customHeight="1" x14ac:dyDescent="0.35">
      <c r="A28" s="3"/>
    </row>
    <row r="29" spans="1:9" ht="90" customHeight="1" x14ac:dyDescent="0.35">
      <c r="A29" s="3" t="s">
        <v>103</v>
      </c>
      <c r="B29" s="3"/>
      <c r="C29" s="3"/>
      <c r="D29" s="3"/>
      <c r="E29" s="3"/>
      <c r="F29" s="3"/>
    </row>
    <row r="30" spans="1:9" ht="90" customHeight="1" x14ac:dyDescent="0.35">
      <c r="A30" s="3"/>
      <c r="B30" s="3" t="s">
        <v>6</v>
      </c>
      <c r="C30" s="3" t="s">
        <v>104</v>
      </c>
      <c r="D30" s="3" t="s">
        <v>105</v>
      </c>
      <c r="E30" s="3" t="s">
        <v>106</v>
      </c>
      <c r="F30" s="3" t="s">
        <v>107</v>
      </c>
      <c r="H30" cm="1">
        <f t="array" ref="H30">LaskeTunnitAikavalit(C30)</f>
        <v>1.7499999999999991</v>
      </c>
      <c r="I30">
        <f>SUM(H30:H36)</f>
        <v>9.75</v>
      </c>
    </row>
    <row r="31" spans="1:9" ht="90" customHeight="1" x14ac:dyDescent="0.35">
      <c r="A31" s="3"/>
      <c r="B31" s="3" t="s">
        <v>7</v>
      </c>
      <c r="C31" s="3" t="s">
        <v>108</v>
      </c>
      <c r="D31" s="3" t="s">
        <v>109</v>
      </c>
      <c r="E31" s="3" t="s">
        <v>111</v>
      </c>
      <c r="F31" s="3" t="s">
        <v>110</v>
      </c>
      <c r="H31" cm="1">
        <f t="array" ref="H31">LaskeTunnitAikavalit(C31)</f>
        <v>2.0000000000000009</v>
      </c>
    </row>
    <row r="32" spans="1:9" ht="90" customHeight="1" x14ac:dyDescent="0.35">
      <c r="A32" s="3"/>
      <c r="B32" s="3" t="s">
        <v>8</v>
      </c>
      <c r="C32" s="3"/>
      <c r="D32" s="3"/>
      <c r="E32" s="3"/>
      <c r="F32" s="3"/>
    </row>
    <row r="33" spans="1:9" ht="90" customHeight="1" x14ac:dyDescent="0.35">
      <c r="A33" s="3"/>
      <c r="B33" s="3" t="s">
        <v>9</v>
      </c>
      <c r="C33" s="3" t="s">
        <v>112</v>
      </c>
      <c r="D33" s="3" t="s">
        <v>113</v>
      </c>
      <c r="E33" s="3" t="s">
        <v>114</v>
      </c>
      <c r="F33" s="3" t="s">
        <v>116</v>
      </c>
      <c r="G33" s="3" t="s">
        <v>115</v>
      </c>
      <c r="H33" cm="1">
        <f t="array" ref="H33">LaskeTunnitAikavalit(C33)</f>
        <v>2.0000000000000009</v>
      </c>
    </row>
    <row r="34" spans="1:9" ht="90" customHeight="1" x14ac:dyDescent="0.35">
      <c r="A34" s="3"/>
      <c r="B34" s="3" t="s">
        <v>10</v>
      </c>
      <c r="C34" s="3" t="s">
        <v>118</v>
      </c>
      <c r="D34" s="3" t="s">
        <v>117</v>
      </c>
      <c r="E34" s="3" t="s">
        <v>119</v>
      </c>
      <c r="F34" s="3" t="s">
        <v>120</v>
      </c>
      <c r="G34" s="3" t="s">
        <v>121</v>
      </c>
      <c r="H34" cm="1">
        <f t="array" ref="H34">LaskeTunnitAikavalit(C34)</f>
        <v>1.0000000000000018</v>
      </c>
    </row>
    <row r="35" spans="1:9" ht="90" customHeight="1" x14ac:dyDescent="0.35">
      <c r="A35" s="3"/>
      <c r="B35" s="3" t="s">
        <v>12</v>
      </c>
      <c r="C35" s="3" t="s">
        <v>130</v>
      </c>
      <c r="D35" s="3" t="s">
        <v>122</v>
      </c>
      <c r="E35" s="3" t="s">
        <v>123</v>
      </c>
      <c r="F35" s="3" t="s">
        <v>124</v>
      </c>
      <c r="G35" s="3" t="s">
        <v>125</v>
      </c>
      <c r="H35" cm="1">
        <f t="array" ref="H35">LaskeTunnitAikavalit(C35)</f>
        <v>1.9999999999999996</v>
      </c>
    </row>
    <row r="36" spans="1:9" ht="90" customHeight="1" x14ac:dyDescent="0.35">
      <c r="A36" s="3"/>
      <c r="B36" s="3" t="s">
        <v>11</v>
      </c>
      <c r="C36" s="3" t="s">
        <v>129</v>
      </c>
      <c r="D36" s="3" t="s">
        <v>126</v>
      </c>
      <c r="E36" s="3" t="s">
        <v>127</v>
      </c>
      <c r="F36" s="3" t="s">
        <v>131</v>
      </c>
      <c r="G36" s="3" t="s">
        <v>128</v>
      </c>
      <c r="H36" cm="1">
        <f t="array" ref="H36">LaskeTunnitAikavalit(C36)</f>
        <v>0.99999999999999911</v>
      </c>
    </row>
    <row r="37" spans="1:9" ht="90" customHeight="1" x14ac:dyDescent="0.35">
      <c r="A37" s="3" t="s">
        <v>132</v>
      </c>
      <c r="B37" s="3" t="s">
        <v>6</v>
      </c>
      <c r="C37" s="3" t="s">
        <v>136</v>
      </c>
      <c r="D37" s="3" t="s">
        <v>133</v>
      </c>
      <c r="E37" s="3" t="s">
        <v>135</v>
      </c>
      <c r="F37" s="3" t="s">
        <v>134</v>
      </c>
      <c r="G37" s="3" t="s">
        <v>137</v>
      </c>
      <c r="H37" cm="1">
        <f t="array" ref="H37">LaskeTunnitAikavalit(C37)</f>
        <v>4.0833333333333348</v>
      </c>
      <c r="I37">
        <f>SUM(H37:H43)</f>
        <v>12.166666666666664</v>
      </c>
    </row>
    <row r="38" spans="1:9" ht="90" customHeight="1" x14ac:dyDescent="0.35">
      <c r="A38" s="3"/>
      <c r="B38" s="3" t="s">
        <v>7</v>
      </c>
      <c r="C38" s="3" t="s">
        <v>140</v>
      </c>
      <c r="D38" s="3" t="s">
        <v>138</v>
      </c>
      <c r="E38" s="3" t="s">
        <v>139</v>
      </c>
      <c r="F38" s="3"/>
      <c r="G38" s="3" t="s">
        <v>141</v>
      </c>
      <c r="H38" cm="1">
        <f t="array" ref="H38">LaskeTunnitAikavalit(C38)</f>
        <v>3.1666666666666661</v>
      </c>
    </row>
    <row r="39" spans="1:9" ht="90" customHeight="1" x14ac:dyDescent="0.35">
      <c r="A39" s="3"/>
      <c r="B39" s="3" t="s">
        <v>8</v>
      </c>
      <c r="C39" s="3" t="s">
        <v>143</v>
      </c>
      <c r="D39" s="3" t="s">
        <v>142</v>
      </c>
      <c r="E39" s="3" t="s">
        <v>144</v>
      </c>
      <c r="F39" s="3"/>
      <c r="H39" cm="1">
        <f t="array" ref="H39">LaskeTunnitAikavalit(C39)</f>
        <v>2.6666666666666679</v>
      </c>
    </row>
    <row r="40" spans="1:9" ht="90" customHeight="1" x14ac:dyDescent="0.35">
      <c r="A40" s="3"/>
      <c r="B40" s="3" t="s">
        <v>9</v>
      </c>
      <c r="C40" s="3" t="s">
        <v>145</v>
      </c>
      <c r="D40" s="3" t="s">
        <v>146</v>
      </c>
      <c r="E40" s="3" t="s">
        <v>148</v>
      </c>
      <c r="F40" s="3" t="s">
        <v>147</v>
      </c>
      <c r="H40" cm="1">
        <f t="array" ref="H40">LaskeTunnitAikavalit(C40)</f>
        <v>2.2499999999999973</v>
      </c>
    </row>
    <row r="41" spans="1:9" ht="90" customHeight="1" x14ac:dyDescent="0.35">
      <c r="A41" s="3"/>
      <c r="B41" s="3" t="s">
        <v>10</v>
      </c>
      <c r="C41" s="3"/>
      <c r="D41" s="3"/>
      <c r="E41" s="3"/>
      <c r="F41" s="3"/>
    </row>
    <row r="42" spans="1:9" ht="90" customHeight="1" x14ac:dyDescent="0.35">
      <c r="A42" s="3"/>
      <c r="B42" s="3" t="s">
        <v>12</v>
      </c>
      <c r="C42" s="3"/>
      <c r="D42" s="3"/>
      <c r="E42" s="3"/>
      <c r="F42" s="3"/>
    </row>
    <row r="43" spans="1:9" ht="90" customHeight="1" x14ac:dyDescent="0.35">
      <c r="A43" s="3"/>
      <c r="B43" s="3" t="s">
        <v>11</v>
      </c>
      <c r="C43" s="3"/>
      <c r="D43" s="3"/>
      <c r="E43" s="3"/>
      <c r="F43" s="3"/>
    </row>
    <row r="44" spans="1:9" ht="90" customHeight="1" x14ac:dyDescent="0.35">
      <c r="A44" s="3" t="s">
        <v>149</v>
      </c>
      <c r="B44" s="3" t="s">
        <v>6</v>
      </c>
      <c r="C44" s="3" t="s">
        <v>151</v>
      </c>
      <c r="D44" s="3" t="s">
        <v>150</v>
      </c>
      <c r="E44" s="3" t="s">
        <v>153</v>
      </c>
      <c r="F44" s="3" t="s">
        <v>154</v>
      </c>
      <c r="G44" t="s">
        <v>152</v>
      </c>
      <c r="H44" cm="1">
        <f t="array" ref="H44">LaskeTunnitAikavalit(C44)</f>
        <v>2.8333333333333339</v>
      </c>
      <c r="I44">
        <f>SUM(H44:H51)</f>
        <v>10.083333333333329</v>
      </c>
    </row>
    <row r="45" spans="1:9" ht="90" customHeight="1" x14ac:dyDescent="0.35">
      <c r="A45" s="3"/>
      <c r="B45" s="3" t="s">
        <v>7</v>
      </c>
      <c r="C45" s="3" t="s">
        <v>155</v>
      </c>
      <c r="D45" s="3" t="s">
        <v>156</v>
      </c>
      <c r="E45" s="3" t="s">
        <v>157</v>
      </c>
      <c r="F45" s="3" t="s">
        <v>158</v>
      </c>
      <c r="H45" cm="1">
        <f t="array" ref="H45">LaskeTunnitAikavalit(C45)</f>
        <v>2.166666666666667</v>
      </c>
    </row>
    <row r="46" spans="1:9" ht="90" customHeight="1" x14ac:dyDescent="0.35">
      <c r="A46" s="3"/>
      <c r="B46" s="3" t="s">
        <v>8</v>
      </c>
      <c r="C46" s="3" t="s">
        <v>162</v>
      </c>
      <c r="D46" s="3" t="s">
        <v>159</v>
      </c>
      <c r="E46" s="3" t="s">
        <v>160</v>
      </c>
      <c r="F46" s="3" t="s">
        <v>161</v>
      </c>
      <c r="H46" cm="1">
        <f t="array" ref="H46">LaskeTunnitAikavalit(C46)</f>
        <v>2.1666666666666643</v>
      </c>
    </row>
    <row r="47" spans="1:9" ht="90" customHeight="1" x14ac:dyDescent="0.35">
      <c r="A47" s="3"/>
      <c r="B47" s="3" t="s">
        <v>9</v>
      </c>
      <c r="C47" s="3" t="s">
        <v>163</v>
      </c>
      <c r="D47" s="3" t="s">
        <v>164</v>
      </c>
      <c r="E47" s="3" t="s">
        <v>165</v>
      </c>
      <c r="F47" s="3" t="s">
        <v>166</v>
      </c>
      <c r="H47" cm="1">
        <f t="array" ref="H47">LaskeTunnitAikavalit(C47)</f>
        <v>1.3333333333333313</v>
      </c>
    </row>
    <row r="48" spans="1:9" ht="90" customHeight="1" x14ac:dyDescent="0.35">
      <c r="A48" s="3"/>
      <c r="B48" s="3"/>
      <c r="C48" s="3"/>
      <c r="D48" s="3"/>
      <c r="E48" s="3"/>
      <c r="F48" s="3"/>
    </row>
    <row r="49" spans="1:9" ht="90" customHeight="1" x14ac:dyDescent="0.35">
      <c r="A49" s="3"/>
      <c r="B49" s="3"/>
      <c r="C49" s="3"/>
      <c r="D49" s="3"/>
      <c r="E49" s="3"/>
      <c r="F49" s="3"/>
    </row>
    <row r="50" spans="1:9" ht="90" customHeight="1" x14ac:dyDescent="0.35">
      <c r="A50" s="3"/>
      <c r="B50" s="3"/>
      <c r="C50" s="3"/>
      <c r="D50" s="3"/>
      <c r="E50" s="3"/>
      <c r="F50" s="3"/>
    </row>
    <row r="51" spans="1:9" ht="90" customHeight="1" x14ac:dyDescent="0.35">
      <c r="A51" s="3" t="s">
        <v>167</v>
      </c>
      <c r="B51" s="3" t="s">
        <v>6</v>
      </c>
      <c r="C51" s="3" t="s">
        <v>168</v>
      </c>
      <c r="D51" s="3" t="s">
        <v>169</v>
      </c>
      <c r="E51" s="3"/>
      <c r="F51" s="3"/>
      <c r="H51" cm="1">
        <f t="array" ref="H51">LaskeTunnitAikavalit(C51)</f>
        <v>1.583333333333333</v>
      </c>
      <c r="I51">
        <f>SUM(H51:H58)</f>
        <v>5.5833333333333348</v>
      </c>
    </row>
    <row r="52" spans="1:9" ht="90" customHeight="1" x14ac:dyDescent="0.35">
      <c r="A52" s="3"/>
      <c r="B52" s="3" t="s">
        <v>7</v>
      </c>
      <c r="C52" s="3" t="s">
        <v>170</v>
      </c>
      <c r="D52" s="3" t="s">
        <v>171</v>
      </c>
      <c r="E52" s="3" t="s">
        <v>172</v>
      </c>
      <c r="F52" s="3"/>
      <c r="H52" cm="1">
        <f t="array" ref="H52">LaskeTunnitAikavalit(C52)</f>
        <v>4.0000000000000018</v>
      </c>
    </row>
    <row r="53" spans="1:9" ht="90" customHeight="1" x14ac:dyDescent="0.35">
      <c r="A53" s="3"/>
      <c r="B53" s="3"/>
      <c r="C53" s="3"/>
      <c r="D53" s="3"/>
      <c r="E53" s="3"/>
      <c r="F53" s="3"/>
    </row>
    <row r="54" spans="1:9" ht="90" customHeight="1" x14ac:dyDescent="0.35">
      <c r="A54" s="3"/>
      <c r="B54" s="3"/>
      <c r="C54" s="3"/>
      <c r="D54" s="3"/>
      <c r="E54" s="3"/>
      <c r="F54" s="3"/>
    </row>
    <row r="55" spans="1:9" ht="90" customHeight="1" x14ac:dyDescent="0.35">
      <c r="A55" s="3"/>
      <c r="B55" s="3"/>
      <c r="C55" s="3"/>
      <c r="D55" s="3"/>
      <c r="E55" s="3"/>
      <c r="F55" s="3"/>
    </row>
    <row r="56" spans="1:9" ht="90" customHeight="1" x14ac:dyDescent="0.35">
      <c r="A56" s="3"/>
      <c r="B56" s="3"/>
      <c r="C56" s="3"/>
      <c r="D56" s="3"/>
      <c r="E56" s="3"/>
      <c r="F56" s="3"/>
    </row>
    <row r="57" spans="1:9" ht="90" customHeight="1" x14ac:dyDescent="0.35">
      <c r="A57" s="3"/>
      <c r="B57" s="3"/>
      <c r="C57" s="3"/>
      <c r="D57" s="3"/>
      <c r="E57" s="3"/>
      <c r="F57" s="3"/>
    </row>
    <row r="58" spans="1:9" ht="90" customHeight="1" x14ac:dyDescent="0.35">
      <c r="A58" s="3"/>
      <c r="B58" s="3"/>
      <c r="C58" s="3"/>
      <c r="D58" s="3"/>
      <c r="E58" s="3"/>
      <c r="F58" s="3"/>
    </row>
    <row r="59" spans="1:9" ht="90" customHeight="1" x14ac:dyDescent="0.35">
      <c r="A59" s="3"/>
      <c r="B59" s="3"/>
      <c r="C59" s="3"/>
      <c r="D59" s="3"/>
      <c r="E59" s="3"/>
      <c r="F59" s="3"/>
    </row>
    <row r="60" spans="1:9" ht="90" customHeight="1" x14ac:dyDescent="0.35">
      <c r="A60" s="3"/>
      <c r="B60" s="3"/>
      <c r="C60" s="3"/>
      <c r="D60" s="3"/>
      <c r="E60" s="3"/>
      <c r="F60" s="3"/>
    </row>
    <row r="61" spans="1:9" ht="90" customHeight="1" x14ac:dyDescent="0.35">
      <c r="A61" s="3"/>
      <c r="B61" s="3"/>
      <c r="C61" s="3"/>
      <c r="D61" s="3"/>
      <c r="E61" s="3"/>
      <c r="F61" s="3"/>
    </row>
    <row r="62" spans="1:9" ht="90" customHeight="1" x14ac:dyDescent="0.35">
      <c r="A62" s="3"/>
      <c r="B62" s="3"/>
      <c r="C62" s="3"/>
      <c r="D62" s="3"/>
      <c r="E62" s="3"/>
      <c r="F62" s="3"/>
    </row>
    <row r="63" spans="1:9" ht="90" customHeight="1" x14ac:dyDescent="0.35">
      <c r="A63" s="3"/>
      <c r="B63" s="3"/>
      <c r="C63" s="3"/>
      <c r="D63" s="3"/>
      <c r="E63" s="3"/>
      <c r="F63" s="3"/>
    </row>
    <row r="64" spans="1:9" ht="90" customHeight="1" x14ac:dyDescent="0.35">
      <c r="A64" s="3"/>
      <c r="B64" s="3"/>
      <c r="C64" s="3"/>
      <c r="D64" s="3"/>
      <c r="E64" s="3"/>
      <c r="F64" s="3"/>
    </row>
    <row r="65" spans="1:6" ht="90" customHeight="1" x14ac:dyDescent="0.35">
      <c r="A65" s="3"/>
      <c r="B65" s="3"/>
      <c r="C65" s="3"/>
      <c r="D65" s="3"/>
      <c r="E65" s="3"/>
      <c r="F65" s="3"/>
    </row>
    <row r="66" spans="1:6" ht="90" customHeight="1" x14ac:dyDescent="0.35">
      <c r="A66" s="3"/>
      <c r="B66" s="3"/>
      <c r="C66" s="3"/>
      <c r="D66" s="3"/>
      <c r="E66" s="3"/>
      <c r="F66" s="3"/>
    </row>
    <row r="67" spans="1:6" ht="90" customHeight="1" x14ac:dyDescent="0.35">
      <c r="A67" s="3"/>
      <c r="B67" s="3"/>
      <c r="C67" s="3"/>
      <c r="D67" s="3"/>
      <c r="E67" s="3"/>
      <c r="F67" s="3"/>
    </row>
    <row r="68" spans="1:6" ht="90" customHeight="1" x14ac:dyDescent="0.35">
      <c r="A68" s="3"/>
      <c r="B68" s="3"/>
      <c r="C68" s="3"/>
      <c r="D68" s="3"/>
      <c r="E68" s="3"/>
      <c r="F68" s="3"/>
    </row>
    <row r="69" spans="1:6" ht="90" customHeight="1" x14ac:dyDescent="0.35">
      <c r="A69" s="3"/>
      <c r="B69" s="3"/>
      <c r="C69" s="3"/>
      <c r="D69" s="3"/>
      <c r="E69" s="3"/>
      <c r="F69" s="3"/>
    </row>
    <row r="70" spans="1:6" ht="90" customHeight="1" x14ac:dyDescent="0.35">
      <c r="A70" s="3"/>
      <c r="B70" s="3"/>
      <c r="C70" s="3"/>
      <c r="D70" s="3"/>
      <c r="E70" s="3"/>
      <c r="F70" s="3"/>
    </row>
    <row r="71" spans="1:6" ht="90" customHeight="1" x14ac:dyDescent="0.35">
      <c r="A71" s="3"/>
      <c r="B71" s="3"/>
      <c r="C71" s="3"/>
      <c r="D71" s="3"/>
      <c r="E71" s="3"/>
      <c r="F71" s="3"/>
    </row>
    <row r="72" spans="1:6" ht="90" customHeight="1" x14ac:dyDescent="0.35">
      <c r="A72" s="3"/>
      <c r="B72" s="3"/>
      <c r="C72" s="3"/>
      <c r="D72" s="3"/>
      <c r="E72" s="3"/>
      <c r="F72" s="3"/>
    </row>
    <row r="73" spans="1:6" ht="90" customHeight="1" x14ac:dyDescent="0.35">
      <c r="A73" s="3"/>
      <c r="B73" s="3"/>
      <c r="C73" s="3"/>
      <c r="D73" s="3"/>
      <c r="E73" s="3"/>
      <c r="F73" s="3"/>
    </row>
    <row r="74" spans="1:6" ht="90" customHeight="1" x14ac:dyDescent="0.35">
      <c r="A74" s="3"/>
      <c r="B74" s="3"/>
      <c r="C74" s="3"/>
      <c r="D74" s="3"/>
      <c r="E74" s="3"/>
      <c r="F74" s="3"/>
    </row>
    <row r="75" spans="1:6" ht="90" customHeight="1" x14ac:dyDescent="0.35">
      <c r="A75" s="3"/>
      <c r="B75" s="3"/>
      <c r="C75" s="3"/>
      <c r="D75" s="3"/>
      <c r="E75" s="3"/>
      <c r="F75" s="3"/>
    </row>
    <row r="76" spans="1:6" ht="90" customHeight="1" x14ac:dyDescent="0.35">
      <c r="A76" s="3"/>
      <c r="B76" s="3"/>
      <c r="C76" s="3"/>
      <c r="D76" s="3"/>
      <c r="E76" s="3"/>
      <c r="F76" s="3"/>
    </row>
    <row r="77" spans="1:6" ht="90" customHeight="1" x14ac:dyDescent="0.35">
      <c r="A77" s="3"/>
      <c r="B77" s="3"/>
      <c r="C77" s="3"/>
      <c r="D77" s="3"/>
      <c r="E77" s="3"/>
      <c r="F77" s="3"/>
    </row>
    <row r="78" spans="1:6" ht="90" customHeight="1" x14ac:dyDescent="0.35">
      <c r="A78" s="3"/>
      <c r="B78" s="3"/>
      <c r="C78" s="3"/>
      <c r="D78" s="3"/>
      <c r="E78" s="3"/>
      <c r="F78" s="3"/>
    </row>
    <row r="79" spans="1:6" ht="90" customHeight="1" x14ac:dyDescent="0.35">
      <c r="A79" s="3"/>
      <c r="B79" s="3"/>
      <c r="C79" s="3"/>
      <c r="D79" s="3"/>
      <c r="E79" s="3"/>
      <c r="F79" s="3"/>
    </row>
    <row r="80" spans="1:6" ht="90" customHeight="1" x14ac:dyDescent="0.35">
      <c r="A80" s="3"/>
      <c r="B80" s="3"/>
      <c r="C80" s="3"/>
      <c r="D80" s="3"/>
      <c r="E80" s="3"/>
      <c r="F80" s="3"/>
    </row>
    <row r="81" spans="1:6" ht="90" customHeight="1" x14ac:dyDescent="0.35">
      <c r="A81" s="3"/>
      <c r="B81" s="3"/>
      <c r="C81" s="3"/>
      <c r="D81" s="3"/>
      <c r="E81" s="3"/>
      <c r="F81" s="3"/>
    </row>
    <row r="82" spans="1:6" ht="90" customHeight="1" x14ac:dyDescent="0.35">
      <c r="A82" s="3"/>
      <c r="B82" s="3"/>
      <c r="C82" s="3"/>
      <c r="D82" s="3"/>
      <c r="E82" s="3"/>
      <c r="F82" s="3"/>
    </row>
    <row r="83" spans="1:6" ht="90" customHeight="1" x14ac:dyDescent="0.35">
      <c r="A83" s="3"/>
      <c r="B83" s="3"/>
      <c r="C83" s="3"/>
      <c r="D83" s="3"/>
      <c r="E83" s="3"/>
      <c r="F83" s="3"/>
    </row>
    <row r="84" spans="1:6" ht="90" customHeight="1" x14ac:dyDescent="0.35">
      <c r="A84" s="3"/>
      <c r="B84" s="3"/>
      <c r="C84" s="3"/>
      <c r="D84" s="3"/>
      <c r="E84" s="3"/>
      <c r="F84" s="3"/>
    </row>
    <row r="85" spans="1:6" ht="90" customHeight="1" x14ac:dyDescent="0.35">
      <c r="A85" s="3"/>
      <c r="B85" s="3"/>
      <c r="C85" s="3"/>
      <c r="D85" s="3"/>
      <c r="E85" s="3"/>
      <c r="F85" s="3"/>
    </row>
    <row r="86" spans="1:6" ht="90" customHeight="1" x14ac:dyDescent="0.35">
      <c r="A86" s="3"/>
      <c r="B86" s="3"/>
      <c r="C86" s="3"/>
      <c r="D86" s="3"/>
      <c r="E86" s="3"/>
      <c r="F86" s="3"/>
    </row>
    <row r="87" spans="1:6" ht="90" customHeight="1" x14ac:dyDescent="0.35">
      <c r="A87" s="3"/>
      <c r="B87" s="3"/>
      <c r="C87" s="3"/>
      <c r="D87" s="3"/>
      <c r="E87" s="3"/>
      <c r="F87" s="3"/>
    </row>
    <row r="88" spans="1:6" ht="90" customHeight="1" x14ac:dyDescent="0.35">
      <c r="A88" s="3"/>
      <c r="B88" s="3"/>
      <c r="C88" s="3"/>
      <c r="D88" s="3"/>
      <c r="E88" s="3"/>
      <c r="F88" s="3"/>
    </row>
    <row r="89" spans="1:6" ht="90" customHeight="1" x14ac:dyDescent="0.35">
      <c r="A89" s="3"/>
      <c r="B89" s="3"/>
      <c r="C89" s="3"/>
      <c r="D89" s="3"/>
      <c r="E89" s="3"/>
      <c r="F89" s="3"/>
    </row>
    <row r="90" spans="1:6" ht="90" customHeight="1" x14ac:dyDescent="0.35">
      <c r="A90" s="3"/>
      <c r="B90" s="3"/>
      <c r="C90" s="3"/>
      <c r="D90" s="3"/>
      <c r="E90" s="3"/>
      <c r="F90" s="3"/>
    </row>
    <row r="91" spans="1:6" ht="90" customHeight="1" x14ac:dyDescent="0.35">
      <c r="A91" s="3"/>
      <c r="B91" s="3"/>
      <c r="C91" s="3"/>
      <c r="D91" s="3"/>
      <c r="E91" s="3"/>
      <c r="F91" s="3"/>
    </row>
    <row r="92" spans="1:6" ht="90" customHeight="1" x14ac:dyDescent="0.35">
      <c r="A92" s="3"/>
      <c r="B92" s="3"/>
      <c r="C92" s="3"/>
      <c r="D92" s="3"/>
      <c r="E92" s="3"/>
      <c r="F92" s="3"/>
    </row>
    <row r="93" spans="1:6" ht="90" customHeight="1" x14ac:dyDescent="0.35">
      <c r="A93" s="3"/>
      <c r="B93" s="3"/>
      <c r="C93" s="3"/>
      <c r="D93" s="3"/>
      <c r="E93" s="3"/>
      <c r="F93" s="3"/>
    </row>
    <row r="94" spans="1:6" ht="90" customHeight="1" x14ac:dyDescent="0.35">
      <c r="A94" s="3"/>
      <c r="B94" s="3"/>
      <c r="C94" s="3"/>
      <c r="D94" s="3"/>
      <c r="E94" s="3"/>
      <c r="F94" s="3"/>
    </row>
    <row r="95" spans="1:6" ht="90" customHeight="1" x14ac:dyDescent="0.35">
      <c r="A95" s="3"/>
      <c r="B95" s="3"/>
      <c r="C95" s="3"/>
      <c r="D95" s="3"/>
      <c r="E95" s="3"/>
      <c r="F95" s="3"/>
    </row>
    <row r="96" spans="1:6" ht="90" customHeight="1" x14ac:dyDescent="0.35">
      <c r="A96" s="3"/>
      <c r="B96" s="3"/>
      <c r="C96" s="3"/>
      <c r="D96" s="3"/>
      <c r="E96" s="3"/>
      <c r="F96" s="3"/>
    </row>
    <row r="97" spans="1:6" ht="90" customHeight="1" x14ac:dyDescent="0.35">
      <c r="A97" s="3"/>
      <c r="B97" s="3"/>
      <c r="C97" s="3"/>
      <c r="D97" s="3"/>
      <c r="E97" s="3"/>
      <c r="F97" s="3"/>
    </row>
    <row r="98" spans="1:6" ht="90" customHeight="1" x14ac:dyDescent="0.35">
      <c r="A98" s="3"/>
      <c r="B98" s="3"/>
      <c r="C98" s="3"/>
      <c r="D98" s="3"/>
      <c r="E98" s="3"/>
      <c r="F98" s="3"/>
    </row>
    <row r="99" spans="1:6" ht="90" customHeight="1" x14ac:dyDescent="0.35">
      <c r="A99" s="3"/>
      <c r="B99" s="3"/>
      <c r="C99" s="3"/>
      <c r="D99" s="3"/>
      <c r="E99" s="3"/>
      <c r="F99" s="3"/>
    </row>
    <row r="100" spans="1:6" ht="90" customHeight="1" x14ac:dyDescent="0.35">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2025-02-25T18:54:03Z</dcterms:modified>
</cp:coreProperties>
</file>