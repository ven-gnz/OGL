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429" codeName="{899C9086-67A9-5B14-2C2D-5A8001700F7D}"/>
  <workbookPr codeName="TämäTyökirja" defaultThemeVersion="124226"/>
  <mc:AlternateContent xmlns:mc="http://schemas.openxmlformats.org/markup-compatibility/2006">
    <mc:Choice Requires="x15">
      <x15ac:absPath xmlns:x15ac="http://schemas.microsoft.com/office/spreadsheetml/2010/11/ac" url="C:\Users\rapul\RR\OGL\"/>
    </mc:Choice>
  </mc:AlternateContent>
  <xr:revisionPtr revIDLastSave="0" documentId="13_ncr:1_{6167D0A4-EEF8-40B8-B266-E5A7494E4052}" xr6:coauthVersionLast="47" xr6:coauthVersionMax="47" xr10:uidLastSave="{00000000-0000-0000-0000-000000000000}"/>
  <bookViews>
    <workbookView xWindow="-110" yWindow="-110" windowWidth="38620" windowHeight="2110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1" i="1" l="1"/>
  <c r="H52" i="1" a="1"/>
  <c r="H51" i="1" a="1"/>
  <c r="H47" i="1" a="1"/>
  <c r="H35" i="1" a="1"/>
  <c r="H15" i="1" a="1"/>
  <c r="H37" i="1" a="1"/>
  <c r="H3" i="1" a="1"/>
  <c r="H6" i="1" a="1"/>
  <c r="H22" i="1" a="1"/>
  <c r="H38" i="1" a="1"/>
  <c r="H14" i="1" a="1"/>
  <c r="H34" i="1" a="1"/>
  <c r="H8" i="1" a="1"/>
  <c r="H23" i="1" a="1"/>
  <c r="H39" i="1" a="1"/>
  <c r="H40" i="1" a="1"/>
  <c r="H7" i="1" a="1"/>
  <c r="H30" i="1" a="1"/>
  <c r="H26" i="1" a="1"/>
  <c r="H4" i="1" a="1"/>
  <c r="H31" i="1" a="1"/>
  <c r="H24" i="1" a="1"/>
  <c r="H44" i="1" a="1"/>
  <c r="H36" i="1" a="1"/>
  <c r="H9" i="1" a="1"/>
  <c r="H17" i="1" a="1"/>
  <c r="H27" i="1" a="1"/>
  <c r="H45" i="1" a="1"/>
  <c r="H33" i="1" a="1"/>
  <c r="H13" i="1" a="1"/>
  <c r="H25" i="1" a="1"/>
  <c r="H46" i="1" a="1"/>
  <c r="H11" i="1" a="1"/>
  <c r="H53" i="1" a="1"/>
  <c r="H54" i="1" a="1"/>
  <c r="H58" i="1" a="1"/>
  <c r="H57" i="1" a="1"/>
  <c r="H59" i="1" a="1"/>
  <c r="H61" i="1" a="1"/>
  <c r="H60" i="1" a="1"/>
  <c r="H61" i="1" l="1"/>
  <c r="H60" i="1"/>
  <c r="H59" i="1"/>
  <c r="I58" i="1" s="1"/>
  <c r="H57" i="1"/>
  <c r="H58" i="1"/>
  <c r="H54" i="1"/>
  <c r="H53" i="1"/>
  <c r="H52" i="1"/>
  <c r="H51" i="1"/>
  <c r="H11" i="1"/>
  <c r="H46" i="1"/>
  <c r="H25" i="1"/>
  <c r="H13" i="1"/>
  <c r="H33" i="1"/>
  <c r="H45" i="1"/>
  <c r="I44" i="1" s="1"/>
  <c r="H27" i="1"/>
  <c r="H17" i="1"/>
  <c r="H9" i="1"/>
  <c r="H36" i="1"/>
  <c r="H44" i="1"/>
  <c r="H24" i="1"/>
  <c r="H31" i="1"/>
  <c r="H4" i="1"/>
  <c r="H26" i="1"/>
  <c r="H30" i="1"/>
  <c r="I30" i="1" s="1"/>
  <c r="H7" i="1"/>
  <c r="H40" i="1"/>
  <c r="H39" i="1"/>
  <c r="H23" i="1"/>
  <c r="H8" i="1"/>
  <c r="H34" i="1"/>
  <c r="H14" i="1"/>
  <c r="H38" i="1"/>
  <c r="I37" i="1" s="1"/>
  <c r="H22" i="1"/>
  <c r="H6" i="1"/>
  <c r="H3" i="1"/>
  <c r="H37" i="1"/>
  <c r="H15" i="1"/>
  <c r="H35" i="1"/>
  <c r="H47" i="1"/>
  <c r="I3" i="1" l="1"/>
  <c r="I6" i="1"/>
  <c r="I13" i="1"/>
  <c r="I21" i="1"/>
  <c r="J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<sst xmlns="http://schemas.openxmlformats.org/spreadsheetml/2006/main" count="242" uniqueCount="198">
  <si>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</si>
  <si>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</si>
  <si>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</si>
  <si>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</si>
  <si>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</si>
  <si>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</si>
  <si>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</si>
  <si>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</si>
  <si>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</si>
  <si>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</si>
  <si>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</si>
  <si>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</si>
  <si>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</si>
  <si>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</si>
  <si>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</si>
  <si>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</si>
  <si>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</si>
  <si>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</si>
  <si>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</si>
  <si>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</si>
  <si>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</si>
  <si>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</si>
  <si>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</si>
  <si>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</si>
  <si>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</si>
  <si>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</si>
  <si>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</si>
  <si>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</si>
  <si>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</si>
  <si>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</si>
  <si>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</si>
  <si>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</si>
  <si>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</si>
  <si>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</si>
  <si>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</si>
  <si>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</si>
  <si>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</si>
  <si>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</si>
  <si>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</si>
  <si>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</si>
  <si>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</si>
  <si>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</si>
  <si>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</si>
  <si>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</si>
  <si>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</si>
  <si>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</si>
  <si>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</si>
  <si>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</si>
  <si>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</si>
  <si>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</si>
  <si>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</si>
  <si>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</si>
  <si>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</si>
  <si>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</si>
  <si>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</si>
  <si>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</si>
  <si>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</si>
  <si>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</si>
  <si>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</si>
  <si>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</si>
  <si>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</si>
  <si>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</si>
  <si>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</si>
  <si>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</si>
  <si>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</si>
  <si>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</si>
  <si>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</si>
  <si>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</si>
  <si>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</si>
  <si>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</si>
  <si>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</si>
  <si>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</si>
  <si>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</si>
  <si>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</si>
  <si>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</si>
  <si>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</si>
  <si>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</si>
  <si>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</si>
  <si>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</si>
  <si>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</si>
  <si>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</si>
  <si>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</si>
  <si>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</si>
  <si>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</si>
  <si>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</si>
  <si>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</si>
  <si>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</si>
  <si>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</si>
  <si>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</si>
  <si>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</si>
  <si>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</si>
  <si>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</si>
  <si>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</si>
  <si>
    <t>Väsyneenä kadotin kuution. Mallimatriisi päivitettiin väärään varjostimeen. Seurauksena nollamatriisilla kertominen kadotti näkyvistä valonlähteen. Virheen etsiminen vei tehokasta aikaa.</t>
  </si>
  <si>
    <t>Hienoista kertausta. Jonkin verran samaa asiaa kuin kandissa. Nyt käytännössä. Huomenna tehtävät. Sellainen 70% laatu tekemisessä, on sentään perjantai.</t>
  </si>
  <si>
    <t>Hiukan himottaisi taas sievennellä, jospa siihen löytyisi viikonloppuna aikaa.</t>
  </si>
  <si>
    <t>18:58-19:58, 20:18-20:54</t>
  </si>
  <si>
    <t>Material luku "esiprosessointi". Käyty suurinpiirtein luku lävitse ja tehtävien avulla tarkastetaan huomenna ja jatketaan oppimista.</t>
  </si>
  <si>
    <t>Materiaali tehtävät. hyvin pientä koodin organisointia, material ja light structit.</t>
  </si>
  <si>
    <t xml:space="preserve">Mukavaa oli ja taas sai vähän harjaannutua. Aika kevyt päivä ja toivottavasti seuraavassa luvussa vähän enemmän uutta, tämä tuntui tällaiselta introlta pbr juttuihin vain. Toki </t>
  </si>
  <si>
    <t>Ei löytynyt viikonloppuna aikaa sievennellä koodia! Ensi viikolla jatketaan eteenpäin. Tällä viikolla vähän huonommin kerätty tunteja, pitänee skarpata.</t>
  </si>
  <si>
    <t>Kurssista käyty nyt ajankäytöllisesti noin kolmasosa. Varmaan ihan jees että välillä kevyempiä viikkoja niin kokonaisuutena jaksaa paremmin ja oppiminen tehokkaampaa. Itsensä voittamisen taitoja harjoiteltava, ettei tee liikaa muttei myöskään vain koodiapinoi tutoriaalia läpi. Haasteena on ajan löytäminen omiin vapaaehtoisiin haasteisiin.</t>
  </si>
  <si>
    <t>16:20-17:50</t>
  </si>
  <si>
    <t>Viikko 4</t>
  </si>
  <si>
    <t>18:30-19:30, 19:45-20:30</t>
  </si>
  <si>
    <t>Lightmaps. Materiaalin tarkempi käytös valon eri komponenteille. Lähestyminen kohti kehittyneempiä valaistusmalleja?</t>
  </si>
  <si>
    <t xml:space="preserve">Uusi konsepti. Täytyy pysähtyä tähän äärelle nyt huomenna ainakin ja pureksia. </t>
  </si>
  <si>
    <t>Outo sininen highlight selittyi oman structin väärinkäytöllä. Huolellisuus näin iltaisin tuntuu olevan välillä rajattu resurssi.</t>
  </si>
  <si>
    <t>18:30-19:20, 19:40-20:50</t>
  </si>
  <si>
    <t>Lightmaps tehtävät.</t>
  </si>
  <si>
    <t>Löytyi hieman heikosti ymmärretty koodinipsaus kommenteista, muilla oli samaa ongelmaa. Täytyy opetella merkkifunktio paremmin. Täytyisi muutenkin ottaa tässä ylös matikkaa mitä kerrata, että pääsee pidemmälle ja syvemmälle myös siinä.</t>
  </si>
  <si>
    <t>Tuli ymmärretyä paremmin. Tämä on kivaa, kun tässä on kaikkea jännää kuten käyttömatikkaa ja rinnakkaisuutta. Huomenna lisää valoja.</t>
  </si>
  <si>
    <t>18:30-19:35, 19:45-20:40</t>
  </si>
  <si>
    <t xml:space="preserve">LightCasters tutoriaaliluku. </t>
  </si>
  <si>
    <t>Nyt oli huonoa tekemistä. Aika väsyneenä tein ja suuri osa ajasta meni virheiden etsimiseen. Varjostimet eivät kääntyneet, kun yritin vähentää vektorista liukulukua. Samoin yritin kertoa vektorilla liukulukua. Puuttuvia puolipisteitä.</t>
  </si>
  <si>
    <t>Siisti efekti. Tekee mieli opetella lisää trigonometriaa kun kosinia tarvitaan kaikkialla. Olisipa enemmän aikaa tutkistella ja rakennella tutoriaalin matksuilla hienompia juttuja. Mutta oppia sentään saa.</t>
  </si>
  <si>
    <t>Tästä päivästä voinee kyllä antaa itselleen risuja myös täältä. Huolimaton päivä uupumusta täynnä. Koodissa paljon semanttisia virheitä, joista syistä sitten ei käänny varjostimet. Huono päivä.</t>
  </si>
  <si>
    <t>LightCaster tehtävä</t>
  </si>
  <si>
    <t>18:15-19:15</t>
  </si>
  <si>
    <t>Oli parempaa tekemistä. Huomenna useamman valon kimppuu, onnibusin siivittämänä. Varjostinkieli alkaa pikkuhiljaa sujua. Tai ei nyt sujua, mutta alkaa oppimaan minkäalisia virheitä tekee silloin kun ne eivät käänny. Tai sitten ovat eiliseltä vielä muistissa.</t>
  </si>
  <si>
    <t>Koodiin ei ole hirveästi panostettu, mitä nyt muutama structi tehty jotta helpompi muutella valon ominaisuuksia. Helppokäyttöisyys edellä.</t>
  </si>
  <si>
    <t>Kolmasosa kurssia takana. Muu elämä väsyttää. Tasapainoa hakiessa.</t>
  </si>
  <si>
    <t>Multiple lights</t>
  </si>
  <si>
    <t>Parempi päivä kuin eilinen. Tosin puuttuvaa puolipistettä sai aika kauan etsiä. Hieno kokonaisuus, mutta vähän ehkä intromainen silti valoihin. Nämä kun ovat oleellisia, ehkä näiden parissa lisää tuolla advanced luvussa.</t>
  </si>
  <si>
    <t>Jotakin pientä mallikoodin ja koodiesimerkkien refaktorointia, mutta se nyt oli muutenkin tämän luvun keskiössä. Huomenna lisää.</t>
  </si>
  <si>
    <t>Sponsored by onnibus.</t>
  </si>
  <si>
    <t>Kertaus valoihin ja multiple lights tehtävä</t>
  </si>
  <si>
    <t>Lyhyt kertauspäivä. Tunnen refaktorintisyyhyn. Valoilmiöiden oppiminen toivottavasti jatkuu myöhemmin. Mutta ainakin nyt tullut kerrattua peruskurssin valoasiat ja osaan ne tehdä varjostimessa. Hyvä jatkaa kohti uudempia asioita.</t>
  </si>
  <si>
    <t>Systemaattisesti jotenkin huomaan, että jatkuvasti tuntuu päivittäin hampaankoloon asioita backlogiin. Ja minä kun luulin, että nyt olisi aikaa syventyä kun jätti töiden ohelle vain yhden kurssin. Täytyy varoa liikaa turhautumasta.</t>
  </si>
  <si>
    <t>16:20-17:20</t>
  </si>
  <si>
    <t>11:40-12:50, 13:15-14:05</t>
  </si>
  <si>
    <t>Huvittaisihan tuohon koskea ja vähän kehnolta näyttää. Tällä viikolla ei ole ollut ehkä aikaa tai kiinnostusta/jaksamista perehtyä tämän enempää.</t>
  </si>
  <si>
    <t>Viikko 5</t>
  </si>
  <si>
    <t>Kanonin macos makefile. Assimp kirjasto. Formattereihin tutustuminen.</t>
  </si>
  <si>
    <t>Tsemppiringin palautteesta johtuen otamme seuraavaa työkalua haltuun eli koodiformaatteria. Vielä se ei taida mitään tehdä.</t>
  </si>
  <si>
    <t xml:space="preserve"> Assimp kirjasto ladattu. Palauteltu mieleen vanhoja TIEA juttuja käsitteiden tasolla. Nyt sitten tuodaan siihen teoriaan jotain mielenkiintoisempia asioita lisää ja ennenkaikkea monikäyttöisempää. </t>
  </si>
  <si>
    <t>08:15- 09:50, 17:30-18:40, 18:50-20:10</t>
  </si>
  <si>
    <t>Yritämme ottaa pienen tsemppauksen, kohti alkuperäisempää tavoitetta käyttää tähän se 130 tuntia.</t>
  </si>
  <si>
    <t>Model loading. Makefilessä palattu taaksepäin - assimp kanssa tuli ongelmia. Manuaalinen copypaste ja debuggaus.</t>
  </si>
  <si>
    <t>Täysin turha päivä. Copy pastesin nopeasti koodit, että sain varmuuden että toimii. Huomenna sulatellaan asiaa ja tehdään header ja cpp. Ja siistitään koodia muutenkin, tai sitten mennään eteenpäin.</t>
  </si>
  <si>
    <t>17:00-18:15,18:20-20:15</t>
  </si>
  <si>
    <t>Helpostihan se näköjään tulee tunteja kun tekee tyhmiä töhöjuttuja. Olisiko windowsilla päässyt helpommalla?</t>
  </si>
  <si>
    <t xml:space="preserve">Model loading jatkuu. Asian sisäistämistä ja model.cpp ja mesh.cpp tiedostojen tekemistä. </t>
  </si>
  <si>
    <t>17:55-18:50,19:00-20:45</t>
  </si>
  <si>
    <t>Cpp haasteita. Mallin lukeminen hyvää kertausta. Kohta pääsee varsinaiseen pihvisisältöön. Erikoisia virheitä cpp mitä ei osaa vielä tulkita : miksi ei voi vain siirtää varsinaista toteutuskoodia headerista cpp:hen? Jotakin viittaussemantiikkaa tässä on tai jotain muuta mitä en edes tiedä terminä. Nyt kuitenkin jo joitakin cpp virheitä onnistunut tulkitsemaan niin kyllä se tästä. Tekemisen laatua painottaen.</t>
  </si>
  <si>
    <t>15:00-16:00,16:15-17:30</t>
  </si>
  <si>
    <t xml:space="preserve">Edellisten päivien model loading pikakelauksen aiheuttamien tuojen selvittelyä. </t>
  </si>
  <si>
    <t>Segfault 0x00000000 on nullpointerexception, kuten TIEA311 muistamme.</t>
  </si>
  <si>
    <t>Tekeminen oli hyvää, lähdin aiemmin töistä tätä varten. C++ päivä. Mesh oli huono valinta tehdä luokaksi, kun sitten niitä pitäisi alustaa ja koodi monimutkaistuisi huomattavasti. Harvemmin niitä kuitenkin muutetaan, joten olisiko jokin struct ratkaisu pitkällä tähtäimellä parempi?</t>
  </si>
  <si>
    <t>Viikko 6</t>
  </si>
  <si>
    <t>Advanced OpenGL. Syvyystestaus, perspektiivimatriisit.</t>
  </si>
  <si>
    <t>16:20-17:40,18:30-20:00</t>
  </si>
  <si>
    <t>Mukava palata opintojen pariin viikonlopun jäljiltä levänneenä. Toivottavasti työajan kevennys näkyy siinä, että opinnot tulee aloitettua ja lopetettua aiemmin saaden niistä enemmän irti.</t>
  </si>
  <si>
    <t>Ensimmäinen "advanced" aidosti uusi asia - tosin en kyllä tekstuureita oppinut käyttämään tiea311 kurssilla. Nyt kun kurssi lähestyy puoltaväliä ajankäytöllisesti hyvä päästä viimein uuden asian pariin. Huomenna tutoriaali loppuun miten tehdään oma perspektiivimuunnosmatriisit ja korvataan pikkuhlijaa glm koodia omalla.</t>
  </si>
  <si>
    <t>Virheiden löytäminen helpottunut kun sitäkin tullut harrastettua. Aika vähä koodia syntyi.</t>
  </si>
  <si>
    <t>17:25-18:35, 18:35-19:35</t>
  </si>
  <si>
    <t>Oma perspektiivimatriisi metodi, tutoriaalin ulkopuolinen lisämateriaali.</t>
  </si>
  <si>
    <t>Minäpystyyvyyttä hankittu! Oma perspektiivimetodi aiheutti onnistumisen kokemuksia.</t>
  </si>
  <si>
    <t>Tänään kirjoitin noin 10 riviä koodia, mutta tuntui että ymmärsin nyt kunnolla perspektiivin ja muutenkin rutinoiduin käyttömatikassa ja itsenäisessä opiskelussa. Erinomaista tekemistä tänään.</t>
  </si>
  <si>
    <t>Siivutustesti. Kohtuullinen ymmärrys mitä sillä tehdään, osasin apinoida perässä. Tutoriaaliluku ja youtube video perään.</t>
  </si>
  <si>
    <t>Kyllä tällä pärjää. Koodi ei ollut keskiössä, eikä juurikaan teknistä osaamista syntynyt. Täytyy tehdä joku visualisaatio tai muu, missä näkee konkreettisemmin asian hyödyn.</t>
  </si>
  <si>
    <t>Taas kerran varjostinten käyttöön hieman rutinoiduttu, eli ongelmien löytäminen nopeutuu.</t>
  </si>
  <si>
    <t>17:40-19:50</t>
  </si>
  <si>
    <t>17:00-18:20</t>
  </si>
  <si>
    <t>Tekstuurien sekoittaminen tutoriaalikappale.</t>
  </si>
  <si>
    <t xml:space="preserve">Kohtuullinen onnibussisessio matkalla assyille. Aktiivisessa lunttaamisessa kehitytty! Kysellen mistä olisi pitänyt ymmärtää tuollainen sinne lässäyttää, ja välillä tuntuu että oletetaan keksivän jonkun jutun mitä ei ehkä keksinyt. Mutta aktiivinen ote pidetään, jos haluaa koodia kopioida sen voi hoitaa joku siitä motivoituneempi. Tänään oli kysymyksenä vain mistä olisi pitänyt saada sopivat arvot kärkipisteille, ja että se olisi omassa taulukossaan. </t>
  </si>
  <si>
    <t>Tietorakenteisiin syvennyttävä. Nyt alkaa tulla uutta ja modernimpaa grafiikka-asiaa, niin huono cpp tuntemus muodostunee jollakin tasolla pullonkaulaksi.</t>
  </si>
  <si>
    <t>Viikko 7</t>
  </si>
  <si>
    <t>08:15-09:50</t>
  </si>
  <si>
    <t>Tsemmpirinki</t>
  </si>
  <si>
    <t>16:00-17:15,18:00-20:45</t>
  </si>
  <si>
    <t>Koneen vaihto windowsiin ja visual studio setup.</t>
  </si>
  <si>
    <t>Opin lisää windows ekosysteemistä, se on parempi. Nyt meni noin neljä tuntia saada jatkettua siitä mihin jäi sisältäen windows päivityksiä ja editorin asennuksen. Konffauksessa kehitytty.</t>
  </si>
  <si>
    <t>18:00-19:30, 19:45-20:25</t>
  </si>
  <si>
    <t>Visual studio workflown päivitys ja naamanpoiminta</t>
  </si>
  <si>
    <t>Luulin jo päässeeni vähemmällä. Ei auta, oppirahoja on maksettava. Linkkeri ja include virheet tutummiksi. Jäi siinä 20-25 minuuttia aikaa lukea kappale ajatuksella läpi.</t>
  </si>
  <si>
    <t>Naamanpoimintatehtävä ja uusi kansio repoon huomista varten ja builditesti. Helppo kopiointi onnistuu nyt viimein.</t>
  </si>
  <si>
    <t>Nyt täytyy kyllä sanoa, että eilen ja tänään opetelteva konsepti oli aika yksinkertainen, mutta samalla paljon tyhmiä virheitä. En eilen ymmärtänyt mitä kolmion keskeltä katsoen tarkoittaa, mutta nyt kun on saanut tehtävän tehtyä ja tarkistettua tuntuu että ymmärsin paremmin. Täytyisi opetella liikkumaan pari kertaa edestakaisin niin näkisi ehkä hyödyn tässä.</t>
  </si>
  <si>
    <t>17:40-19:35</t>
  </si>
  <si>
    <t>Viikko 8</t>
  </si>
  <si>
    <t>10:30-11:45, 11:55-13:50, 15:00-16:05, 16:15-18:00</t>
  </si>
  <si>
    <t>Kuvaruutupuskuri tutoriaalikappale.</t>
  </si>
  <si>
    <t>Kuvaruutupuskuri tehtävät, git repon siistiminen, dependencyjen korjaaminen. Kolmiulotteiset tekstuurit ja niistä ympäristön renderöinti. Sisälsi runsaasti virheiden etsintää.</t>
  </si>
  <si>
    <t xml:space="preserve">Johdanto kolmiulotteisiin tekstuureihin. Nyt tuntuu että ymmärrän kuvaruutupuskurin toiminnan paremmin, ja pintapuolisesti mihin sitä käytetään. Kurssilla alkaa tulla mielenkiintoisempaa asiaa, mutta laajaalti itsestä riippuvista syistä niistä kaikkia ei ehditä kurssin aikana. </t>
  </si>
  <si>
    <t>Pyysin siis 16.2. alkaen 80% sopparia, toiveenani olisi ollut käyttää enemmän aikaa kurssin opiskeluun. Onhan se vähän lisääntynyt, mutta korjausliike tapahtui liian myöhään.</t>
  </si>
  <si>
    <t>14:00-14:45, 14:50-15:50, 18:15-19:15</t>
  </si>
  <si>
    <t>18:30-19:15</t>
  </si>
  <si>
    <t>Advanced data  - nopea katsaus eri tapoihin virtauttaa kärkipisteet.</t>
  </si>
  <si>
    <t>Implementoitu oppikirjasta interpoloimalla 111222 tyyppinen niputettu virtauttaminen. Hyvää settiä. Vähän piti miettiä, että mistä access violation johtuu, ratkaisu ehkä hieman purkka mutta toisaalta niin siellä kirjassa luki että sano ensin minkä kokoinen puskuri jyvitetään, hieman c tyylillä.</t>
  </si>
  <si>
    <t>Ajatuksena oli käyttää hieman enemmän aikaa - mutta git repo oli niin solmussa että etävarantoon muutosten puskeminen ei onnistunut. Tästä johtuen, kävin korjaustoimenpiteisiin jotka rikkoivat riippuvuudet ja sitä sitten ihmeteltiin. Kyllä siihen kolmisen varttia meni.</t>
  </si>
  <si>
    <t>18:30-20:40</t>
  </si>
  <si>
    <t>17:50-18:55, 19:05-20:05</t>
  </si>
  <si>
    <t xml:space="preserve">Advanced GLSL kappale, yritin tehdä perässä esimerkkejä. </t>
  </si>
  <si>
    <t xml:space="preserve">Geometry Shaders </t>
  </si>
  <si>
    <t>Tekstuurien kanssa on jotain haasteita vielä, mihin ei suoraan tutoriaalissa ole saanut selitystä milloin pystyn ja en pysty replikoimaan. Hieman näytönohjaime n toimintaa tarkemmin, esim muistin varaamista ja muistin toimintaa samanmuotoisten puskuriobjektien avulla</t>
  </si>
  <si>
    <t xml:space="preserve">Grafiikkaliukuhihnaan jotain uutta (viimein) kärkipiste ja fragmenttivarjostimien kanssa. </t>
  </si>
  <si>
    <t>Nyt koettanut tehdä hieman vähemmän isoja muutoksia kun tuntuu että aika menee konffien kanssa tappelemiseen. Mitäs käytit mäkkiä ja vaihdoit windowsiin ähäkutti. Positiivista, että työkalujen käyttöönotto helpottuu, ongelmanratkaisussa kehittyy ja tiedonhaussa.</t>
  </si>
  <si>
    <t>Pikkuhiljaa alkaa löytymään mukavampaa työkalusettiä, Visual studion C++ ympäristö on sangen hyvä ja virheen informatiivisia.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</si>
</sst>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topLeftCell="A53" zoomScale="70" zoomScaleNormal="70" workbookViewId="0">
      <selection activeCell="B63" sqref="B63"/>
    </sheetView>
  </sheetViews>
  <sheetFormatPr defaultColWidth="8.81640625" defaultRowHeight="14.5" outlineLevelRow="2" outlineLevelCol="1" x14ac:dyDescent="0.35"/>
  <cols>
    <col min="1" max="1" width="15.6328125" customWidth="1"/>
    <col min="2" max="2" width="10.6328125" customWidth="1" outlineLevel="1"/>
    <col min="3" max="3" width="15.81640625" customWidth="1" outlineLevel="1"/>
    <col min="4" max="4" width="55.1796875" customWidth="1" outlineLevel="1"/>
    <col min="5" max="5" width="64.6328125" customWidth="1" outlineLevel="1"/>
    <col min="6" max="6" width="65.6328125" customWidth="1" outlineLevel="1"/>
    <col min="7" max="7" width="53.6328125" customWidth="1" outlineLevel="1"/>
    <col min="8" max="8" width="11.36328125" customWidth="1" outlineLevel="1"/>
    <col min="9" max="9" width="15.6328125" customWidth="1" outlineLevel="1"/>
    <col min="10" max="10" width="17" customWidth="1" outlineLevel="1"/>
  </cols>
  <sheetData>
    <row r="1" spans="1:10" x14ac:dyDescent="0.35">
      <c r="A1" s="1" t="s">
        <v>13</v>
      </c>
      <c r="B1" s="1" t="s">
        <v>14</v>
      </c>
      <c r="C1" s="1" t="s">
        <v>21</v>
      </c>
      <c r="D1" s="1" t="s">
        <v>0</v>
      </c>
      <c r="E1" s="1" t="s">
        <v>1</v>
      </c>
      <c r="F1" s="2" t="s">
        <v>16</v>
      </c>
      <c r="G1" s="2" t="s">
        <v>2</v>
      </c>
      <c r="H1" s="2" t="s">
        <v>15</v>
      </c>
      <c r="I1" s="2" t="s">
        <v>54</v>
      </c>
      <c r="J1" s="2" t="s">
        <v>17</v>
      </c>
    </row>
    <row r="2" spans="1:10" ht="90" customHeight="1" x14ac:dyDescent="0.35">
      <c r="A2" t="s">
        <v>18</v>
      </c>
      <c r="J2">
        <f>SUM(I:I)</f>
        <v>100.51666666666668</v>
      </c>
    </row>
    <row r="3" spans="1:10" ht="90" customHeight="1" outlineLevel="1" x14ac:dyDescent="0.35">
      <c r="B3" s="4" t="s">
        <v>10</v>
      </c>
      <c r="C3" t="s">
        <v>52</v>
      </c>
      <c r="D3" s="3" t="s">
        <v>22</v>
      </c>
      <c r="E3" s="3" t="s">
        <v>4</v>
      </c>
      <c r="F3" s="3" t="s">
        <v>3</v>
      </c>
      <c r="G3" s="3" t="s">
        <v>23</v>
      </c>
      <c r="H3" cm="1">
        <f t="array" ref="H3">LaskeTunnitAikavalit(C3)</f>
        <v>4.2500000000000036</v>
      </c>
      <c r="I3">
        <f>SUM(H3:H4)</f>
        <v>9.2500000000000018</v>
      </c>
    </row>
    <row r="4" spans="1:10" ht="90" customHeight="1" outlineLevel="1" x14ac:dyDescent="0.35">
      <c r="A4" s="4"/>
      <c r="B4" s="4" t="s">
        <v>12</v>
      </c>
      <c r="C4" s="5" t="s">
        <v>26</v>
      </c>
      <c r="D4" s="3" t="s">
        <v>5</v>
      </c>
      <c r="E4" s="3" t="s">
        <v>24</v>
      </c>
      <c r="F4" s="3" t="s">
        <v>25</v>
      </c>
      <c r="G4" s="3" t="s">
        <v>36</v>
      </c>
      <c r="H4" s="3" cm="1">
        <f t="array" ref="H4">LaskeTunnitAikavalit(C4)</f>
        <v>4.9999999999999982</v>
      </c>
    </row>
    <row r="5" spans="1:10" ht="90" customHeight="1" x14ac:dyDescent="0.35">
      <c r="A5" s="4" t="s">
        <v>19</v>
      </c>
      <c r="B5" s="3"/>
      <c r="C5" s="3"/>
      <c r="D5" s="3"/>
      <c r="E5" s="3"/>
      <c r="F5" s="3"/>
      <c r="H5" s="6"/>
    </row>
    <row r="6" spans="1:10" ht="90" customHeight="1" outlineLevel="2" x14ac:dyDescent="0.35">
      <c r="A6" s="4"/>
      <c r="B6" s="4" t="s">
        <v>6</v>
      </c>
      <c r="C6" s="3" t="s">
        <v>51</v>
      </c>
      <c r="D6" s="3" t="s">
        <v>27</v>
      </c>
      <c r="E6" s="3" t="s">
        <v>30</v>
      </c>
      <c r="F6" s="3" t="s">
        <v>28</v>
      </c>
      <c r="G6" s="3" t="s">
        <v>29</v>
      </c>
      <c r="H6" cm="1">
        <f t="array" ref="H6">LaskeTunnitAikavalit(C6)</f>
        <v>4.0000000000000018</v>
      </c>
      <c r="I6">
        <f>SUM(H6:H13)</f>
        <v>16.250000000000004</v>
      </c>
    </row>
    <row r="7" spans="1:10" ht="107" customHeight="1" outlineLevel="2" x14ac:dyDescent="0.35">
      <c r="A7" s="4"/>
      <c r="B7" s="4" t="s">
        <v>7</v>
      </c>
      <c r="C7" s="3" t="s">
        <v>34</v>
      </c>
      <c r="D7" s="3" t="s">
        <v>35</v>
      </c>
      <c r="E7" s="3" t="s">
        <v>31</v>
      </c>
      <c r="F7" s="3" t="s">
        <v>32</v>
      </c>
      <c r="G7" s="3" t="s">
        <v>33</v>
      </c>
      <c r="H7" cm="1">
        <f t="array" ref="H7">LaskeTunnitAikavalit(C7)</f>
        <v>2.25</v>
      </c>
    </row>
    <row r="8" spans="1:10" ht="90" customHeight="1" outlineLevel="2" x14ac:dyDescent="0.35">
      <c r="A8" s="4"/>
      <c r="B8" s="3" t="s">
        <v>8</v>
      </c>
      <c r="C8" s="3" t="s">
        <v>37</v>
      </c>
      <c r="D8" s="3" t="s">
        <v>38</v>
      </c>
      <c r="E8" s="3" t="s">
        <v>39</v>
      </c>
      <c r="F8" s="3" t="s">
        <v>40</v>
      </c>
      <c r="G8" s="3" t="s">
        <v>41</v>
      </c>
      <c r="H8" cm="1">
        <f t="array" ref="H8">LaskeTunnitAikavalit(C8)</f>
        <v>2.5000000000000018</v>
      </c>
    </row>
    <row r="9" spans="1:10" ht="90" customHeight="1" outlineLevel="2" x14ac:dyDescent="0.35">
      <c r="A9" s="4"/>
      <c r="B9" s="3" t="s">
        <v>9</v>
      </c>
      <c r="C9" s="3" t="s">
        <v>46</v>
      </c>
      <c r="D9" s="3" t="s">
        <v>42</v>
      </c>
      <c r="E9" s="3" t="s">
        <v>43</v>
      </c>
      <c r="F9" s="3" t="s">
        <v>44</v>
      </c>
      <c r="G9" s="3" t="s">
        <v>45</v>
      </c>
      <c r="H9" cm="1">
        <f t="array" ref="H9">LaskeTunnitAikavalit(C9)</f>
        <v>2.5000000000000018</v>
      </c>
    </row>
    <row r="10" spans="1:10" ht="90" customHeight="1" outlineLevel="2" x14ac:dyDescent="0.35">
      <c r="A10" s="4"/>
      <c r="B10" s="3" t="s">
        <v>20</v>
      </c>
      <c r="C10" s="3"/>
      <c r="D10" s="3"/>
      <c r="E10" s="3"/>
      <c r="F10" s="3"/>
    </row>
    <row r="11" spans="1:10" ht="90" customHeight="1" outlineLevel="2" x14ac:dyDescent="0.35">
      <c r="A11" s="3"/>
      <c r="B11" s="3" t="s">
        <v>12</v>
      </c>
      <c r="C11" s="3" t="s">
        <v>53</v>
      </c>
      <c r="D11" s="3" t="s">
        <v>47</v>
      </c>
      <c r="E11" s="3" t="s">
        <v>48</v>
      </c>
      <c r="F11" s="3" t="s">
        <v>49</v>
      </c>
      <c r="G11" s="3" t="s">
        <v>50</v>
      </c>
      <c r="H11" cm="1">
        <f t="array" ref="H11">LaskeTunnitAikavalit(C11)</f>
        <v>1.9999999999999982</v>
      </c>
    </row>
    <row r="12" spans="1:10" ht="90" customHeight="1" outlineLevel="2" x14ac:dyDescent="0.35">
      <c r="A12" s="3"/>
      <c r="B12" s="3" t="s">
        <v>11</v>
      </c>
      <c r="C12" s="3"/>
      <c r="D12" s="3"/>
      <c r="E12" s="3"/>
      <c r="F12" s="3"/>
    </row>
    <row r="13" spans="1:10" ht="90" customHeight="1" outlineLevel="1" x14ac:dyDescent="0.35">
      <c r="A13" s="3" t="s">
        <v>55</v>
      </c>
      <c r="B13" s="3" t="s">
        <v>6</v>
      </c>
      <c r="C13" s="3" t="s">
        <v>59</v>
      </c>
      <c r="D13" s="3" t="s">
        <v>56</v>
      </c>
      <c r="E13" s="3" t="s">
        <v>58</v>
      </c>
      <c r="F13" s="3" t="s">
        <v>57</v>
      </c>
      <c r="H13" cm="1">
        <f t="array" ref="H13">LaskeTunnitAikavalit(C13)</f>
        <v>3</v>
      </c>
      <c r="I13">
        <f>SUM(H13:H19)</f>
        <v>8</v>
      </c>
    </row>
    <row r="14" spans="1:10" ht="90" customHeight="1" outlineLevel="1" x14ac:dyDescent="0.35">
      <c r="A14" s="3"/>
      <c r="B14" s="3" t="s">
        <v>7</v>
      </c>
      <c r="C14" s="3" t="s">
        <v>64</v>
      </c>
      <c r="D14" s="3" t="s">
        <v>60</v>
      </c>
      <c r="E14" s="3" t="s">
        <v>62</v>
      </c>
      <c r="F14" s="3" t="s">
        <v>61</v>
      </c>
      <c r="G14" s="3" t="s">
        <v>63</v>
      </c>
      <c r="H14" cm="1">
        <f t="array" ref="H14">LaskeTunnitAikavalit(C14)</f>
        <v>1.8333333333333348</v>
      </c>
    </row>
    <row r="15" spans="1:10" ht="90" customHeight="1" outlineLevel="1" x14ac:dyDescent="0.35">
      <c r="A15" s="3"/>
      <c r="B15" s="3" t="s">
        <v>8</v>
      </c>
      <c r="C15" s="3" t="s">
        <v>66</v>
      </c>
      <c r="D15" s="3" t="s">
        <v>65</v>
      </c>
      <c r="E15" s="3" t="s">
        <v>67</v>
      </c>
      <c r="F15" s="3" t="s">
        <v>68</v>
      </c>
      <c r="G15" s="3" t="s">
        <v>69</v>
      </c>
      <c r="H15" cm="1">
        <f t="array" ref="H15">LaskeTunnitAikavalit(C15)</f>
        <v>2.166666666666667</v>
      </c>
    </row>
    <row r="16" spans="1:10" ht="90" customHeight="1" outlineLevel="1" x14ac:dyDescent="0.35">
      <c r="A16" s="3"/>
      <c r="B16" s="3" t="s">
        <v>9</v>
      </c>
      <c r="C16" s="3"/>
      <c r="D16" s="3"/>
      <c r="E16" s="3"/>
      <c r="F16" s="3"/>
    </row>
    <row r="17" spans="1:9" ht="90" customHeight="1" outlineLevel="1" x14ac:dyDescent="0.35">
      <c r="A17" s="3"/>
      <c r="B17" s="3" t="s">
        <v>10</v>
      </c>
      <c r="C17" s="3" t="s">
        <v>70</v>
      </c>
      <c r="D17" s="3" t="s">
        <v>71</v>
      </c>
      <c r="E17" s="3" t="s">
        <v>72</v>
      </c>
      <c r="F17" s="3" t="s">
        <v>73</v>
      </c>
      <c r="H17" cm="1">
        <f t="array" ref="H17">LaskeTunnitAikavalit(C17)</f>
        <v>0.99999999999999911</v>
      </c>
    </row>
    <row r="18" spans="1:9" ht="90" customHeight="1" outlineLevel="1" x14ac:dyDescent="0.35">
      <c r="A18" s="3"/>
      <c r="B18" s="3" t="s">
        <v>12</v>
      </c>
      <c r="C18" s="3"/>
      <c r="D18" s="3"/>
      <c r="E18" s="3"/>
      <c r="F18" s="3"/>
    </row>
    <row r="19" spans="1:9" ht="90" customHeight="1" outlineLevel="1" x14ac:dyDescent="0.35">
      <c r="A19" s="3"/>
      <c r="B19" s="3" t="s">
        <v>11</v>
      </c>
      <c r="C19" s="3"/>
      <c r="D19" s="3"/>
      <c r="E19" s="3"/>
      <c r="F19" s="3"/>
    </row>
    <row r="20" spans="1:9" ht="90" customHeight="1" x14ac:dyDescent="0.35">
      <c r="A20" s="3"/>
      <c r="B20" s="3"/>
      <c r="C20" s="3"/>
      <c r="D20" s="3"/>
      <c r="E20" s="3"/>
      <c r="F20" s="3"/>
    </row>
    <row r="21" spans="1:9" ht="90" customHeight="1" outlineLevel="1" x14ac:dyDescent="0.35">
      <c r="A21" s="3" t="s">
        <v>74</v>
      </c>
      <c r="I21">
        <f>SUM(H22:H27)</f>
        <v>11.600000000000001</v>
      </c>
    </row>
    <row r="22" spans="1:9" ht="90" customHeight="1" outlineLevel="2" x14ac:dyDescent="0.35">
      <c r="A22" s="3"/>
      <c r="B22" s="3" t="s">
        <v>6</v>
      </c>
      <c r="C22" s="3" t="s">
        <v>79</v>
      </c>
      <c r="D22" s="3" t="s">
        <v>75</v>
      </c>
      <c r="E22" s="3" t="s">
        <v>76</v>
      </c>
      <c r="F22" s="3" t="s">
        <v>77</v>
      </c>
      <c r="G22" s="3" t="s">
        <v>78</v>
      </c>
      <c r="H22" cm="1">
        <f t="array" ref="H22">LaskeTunnitAikavalit(C22)</f>
        <v>3.4999999999999996</v>
      </c>
    </row>
    <row r="23" spans="1:9" ht="90" customHeight="1" outlineLevel="2" x14ac:dyDescent="0.35">
      <c r="A23" s="3"/>
      <c r="B23" s="3" t="s">
        <v>7</v>
      </c>
      <c r="C23" s="3" t="s">
        <v>80</v>
      </c>
      <c r="D23" s="3" t="s">
        <v>84</v>
      </c>
      <c r="E23" s="3" t="s">
        <v>81</v>
      </c>
      <c r="F23" s="3" t="s">
        <v>82</v>
      </c>
      <c r="H23" cm="1">
        <f t="array" ref="H23">LaskeTunnitAikavalit(C23)</f>
        <v>1.2499999999999982</v>
      </c>
    </row>
    <row r="24" spans="1:9" ht="90" customHeight="1" outlineLevel="2" x14ac:dyDescent="0.35">
      <c r="A24" s="3"/>
      <c r="B24" s="3" t="s">
        <v>8</v>
      </c>
      <c r="C24" s="3" t="s">
        <v>83</v>
      </c>
      <c r="D24" s="3" t="s">
        <v>87</v>
      </c>
      <c r="E24" s="3" t="s">
        <v>85</v>
      </c>
      <c r="F24" s="3" t="s">
        <v>86</v>
      </c>
      <c r="H24" cm="1">
        <f t="array" ref="H24">LaskeTunnitAikavalit(C24)</f>
        <v>1.5000000000000027</v>
      </c>
    </row>
    <row r="25" spans="1:9" ht="90" customHeight="1" outlineLevel="2" x14ac:dyDescent="0.35">
      <c r="A25" s="3"/>
      <c r="B25" s="3" t="s">
        <v>9</v>
      </c>
      <c r="C25" s="3" t="s">
        <v>88</v>
      </c>
      <c r="D25" s="3" t="s">
        <v>89</v>
      </c>
      <c r="E25" s="3" t="s">
        <v>90</v>
      </c>
      <c r="F25" s="3" t="s">
        <v>91</v>
      </c>
      <c r="G25" s="3" t="s">
        <v>92</v>
      </c>
      <c r="H25" cm="1">
        <f t="array" ref="H25">LaskeTunnitAikavalit(C25)</f>
        <v>2.25</v>
      </c>
    </row>
    <row r="26" spans="1:9" ht="90" customHeight="1" outlineLevel="2" x14ac:dyDescent="0.35">
      <c r="A26" s="3"/>
      <c r="B26" s="3" t="s">
        <v>10</v>
      </c>
      <c r="C26" s="3" t="s">
        <v>96</v>
      </c>
      <c r="D26" s="3" t="s">
        <v>97</v>
      </c>
      <c r="E26" s="3" t="s">
        <v>94</v>
      </c>
      <c r="F26" s="3" t="s">
        <v>95</v>
      </c>
      <c r="G26" s="3" t="s">
        <v>93</v>
      </c>
      <c r="H26" cm="1">
        <f t="array" ref="H26">LaskeTunnitAikavalit(C26)</f>
        <v>1.6000000000000023</v>
      </c>
    </row>
    <row r="27" spans="1:9" ht="90" customHeight="1" outlineLevel="2" x14ac:dyDescent="0.35">
      <c r="A27" s="3"/>
      <c r="B27" s="3" t="s">
        <v>11</v>
      </c>
      <c r="C27" s="3" t="s">
        <v>102</v>
      </c>
      <c r="D27" s="3" t="s">
        <v>98</v>
      </c>
      <c r="E27" s="3" t="s">
        <v>99</v>
      </c>
      <c r="F27" s="3" t="s">
        <v>100</v>
      </c>
      <c r="G27" s="3" t="s">
        <v>101</v>
      </c>
      <c r="H27" cm="1">
        <f t="array" ref="H27">LaskeTunnitAikavalit(C27)</f>
        <v>1.5</v>
      </c>
    </row>
    <row r="28" spans="1:9" ht="90" customHeight="1" x14ac:dyDescent="0.35">
      <c r="A28" s="3"/>
    </row>
    <row r="29" spans="1:9" ht="90" customHeight="1" x14ac:dyDescent="0.35">
      <c r="A29" s="3" t="s">
        <v>103</v>
      </c>
      <c r="B29" s="3"/>
      <c r="C29" s="3"/>
      <c r="D29" s="3"/>
      <c r="E29" s="3"/>
      <c r="F29" s="3"/>
    </row>
    <row r="30" spans="1:9" ht="90" customHeight="1" x14ac:dyDescent="0.35">
      <c r="A30" s="3"/>
      <c r="B30" s="3" t="s">
        <v>6</v>
      </c>
      <c r="C30" s="3" t="s">
        <v>104</v>
      </c>
      <c r="D30" s="3" t="s">
        <v>105</v>
      </c>
      <c r="E30" s="3" t="s">
        <v>106</v>
      </c>
      <c r="F30" s="3" t="s">
        <v>107</v>
      </c>
      <c r="H30" cm="1">
        <f t="array" ref="H30">LaskeTunnitAikavalit(C30)</f>
        <v>1.7499999999999991</v>
      </c>
      <c r="I30">
        <f>SUM(H30:H36)</f>
        <v>9.75</v>
      </c>
    </row>
    <row r="31" spans="1:9" ht="90" customHeight="1" x14ac:dyDescent="0.35">
      <c r="A31" s="3"/>
      <c r="B31" s="3" t="s">
        <v>7</v>
      </c>
      <c r="C31" s="3" t="s">
        <v>108</v>
      </c>
      <c r="D31" s="3" t="s">
        <v>109</v>
      </c>
      <c r="E31" s="3" t="s">
        <v>111</v>
      </c>
      <c r="F31" s="3" t="s">
        <v>110</v>
      </c>
      <c r="H31" cm="1">
        <f t="array" ref="H31">LaskeTunnitAikavalit(C31)</f>
        <v>2.0000000000000009</v>
      </c>
    </row>
    <row r="32" spans="1:9" ht="90" customHeight="1" x14ac:dyDescent="0.35">
      <c r="A32" s="3"/>
      <c r="B32" s="3" t="s">
        <v>8</v>
      </c>
      <c r="C32" s="3"/>
      <c r="D32" s="3"/>
      <c r="E32" s="3"/>
      <c r="F32" s="3"/>
    </row>
    <row r="33" spans="1:9" ht="90" customHeight="1" x14ac:dyDescent="0.35">
      <c r="A33" s="3"/>
      <c r="B33" s="3" t="s">
        <v>9</v>
      </c>
      <c r="C33" s="3" t="s">
        <v>112</v>
      </c>
      <c r="D33" s="3" t="s">
        <v>113</v>
      </c>
      <c r="E33" s="3" t="s">
        <v>114</v>
      </c>
      <c r="F33" s="3" t="s">
        <v>116</v>
      </c>
      <c r="G33" s="3" t="s">
        <v>115</v>
      </c>
      <c r="H33" cm="1">
        <f t="array" ref="H33">LaskeTunnitAikavalit(C33)</f>
        <v>2.0000000000000009</v>
      </c>
    </row>
    <row r="34" spans="1:9" ht="90" customHeight="1" x14ac:dyDescent="0.35">
      <c r="A34" s="3"/>
      <c r="B34" s="3" t="s">
        <v>10</v>
      </c>
      <c r="C34" s="3" t="s">
        <v>118</v>
      </c>
      <c r="D34" s="3" t="s">
        <v>117</v>
      </c>
      <c r="E34" s="3" t="s">
        <v>119</v>
      </c>
      <c r="F34" s="3" t="s">
        <v>120</v>
      </c>
      <c r="G34" s="3" t="s">
        <v>121</v>
      </c>
      <c r="H34" cm="1">
        <f t="array" ref="H34">LaskeTunnitAikavalit(C34)</f>
        <v>1.0000000000000018</v>
      </c>
    </row>
    <row r="35" spans="1:9" ht="90" customHeight="1" x14ac:dyDescent="0.35">
      <c r="A35" s="3"/>
      <c r="B35" s="3" t="s">
        <v>12</v>
      </c>
      <c r="C35" s="3" t="s">
        <v>130</v>
      </c>
      <c r="D35" s="3" t="s">
        <v>122</v>
      </c>
      <c r="E35" s="3" t="s">
        <v>123</v>
      </c>
      <c r="F35" s="3" t="s">
        <v>124</v>
      </c>
      <c r="G35" s="3" t="s">
        <v>125</v>
      </c>
      <c r="H35" cm="1">
        <f t="array" ref="H35">LaskeTunnitAikavalit(C35)</f>
        <v>1.9999999999999996</v>
      </c>
    </row>
    <row r="36" spans="1:9" ht="90" customHeight="1" x14ac:dyDescent="0.35">
      <c r="A36" s="3"/>
      <c r="B36" s="3" t="s">
        <v>11</v>
      </c>
      <c r="C36" s="3" t="s">
        <v>129</v>
      </c>
      <c r="D36" s="3" t="s">
        <v>126</v>
      </c>
      <c r="E36" s="3" t="s">
        <v>127</v>
      </c>
      <c r="F36" s="3" t="s">
        <v>131</v>
      </c>
      <c r="G36" s="3" t="s">
        <v>128</v>
      </c>
      <c r="H36" cm="1">
        <f t="array" ref="H36">LaskeTunnitAikavalit(C36)</f>
        <v>0.99999999999999911</v>
      </c>
    </row>
    <row r="37" spans="1:9" ht="90" customHeight="1" x14ac:dyDescent="0.35">
      <c r="A37" s="3" t="s">
        <v>132</v>
      </c>
      <c r="B37" s="3" t="s">
        <v>6</v>
      </c>
      <c r="C37" s="3" t="s">
        <v>136</v>
      </c>
      <c r="D37" s="3" t="s">
        <v>133</v>
      </c>
      <c r="E37" s="3" t="s">
        <v>135</v>
      </c>
      <c r="F37" s="3" t="s">
        <v>134</v>
      </c>
      <c r="G37" s="3" t="s">
        <v>137</v>
      </c>
      <c r="H37" cm="1">
        <f t="array" ref="H37">LaskeTunnitAikavalit(C37)</f>
        <v>4.0833333333333348</v>
      </c>
      <c r="I37">
        <f>SUM(H37:H43)</f>
        <v>12.166666666666664</v>
      </c>
    </row>
    <row r="38" spans="1:9" ht="90" customHeight="1" x14ac:dyDescent="0.35">
      <c r="A38" s="3"/>
      <c r="B38" s="3" t="s">
        <v>7</v>
      </c>
      <c r="C38" s="3" t="s">
        <v>140</v>
      </c>
      <c r="D38" s="3" t="s">
        <v>138</v>
      </c>
      <c r="E38" s="3" t="s">
        <v>139</v>
      </c>
      <c r="F38" s="3"/>
      <c r="G38" s="3" t="s">
        <v>141</v>
      </c>
      <c r="H38" cm="1">
        <f t="array" ref="H38">LaskeTunnitAikavalit(C38)</f>
        <v>3.1666666666666661</v>
      </c>
    </row>
    <row r="39" spans="1:9" ht="90" customHeight="1" x14ac:dyDescent="0.35">
      <c r="A39" s="3"/>
      <c r="B39" s="3" t="s">
        <v>8</v>
      </c>
      <c r="C39" s="3" t="s">
        <v>143</v>
      </c>
      <c r="D39" s="3" t="s">
        <v>142</v>
      </c>
      <c r="E39" s="3" t="s">
        <v>144</v>
      </c>
      <c r="F39" s="3"/>
      <c r="H39" cm="1">
        <f t="array" ref="H39">LaskeTunnitAikavalit(C39)</f>
        <v>2.6666666666666679</v>
      </c>
    </row>
    <row r="40" spans="1:9" ht="90" customHeight="1" x14ac:dyDescent="0.35">
      <c r="A40" s="3"/>
      <c r="B40" s="3" t="s">
        <v>9</v>
      </c>
      <c r="C40" s="3" t="s">
        <v>145</v>
      </c>
      <c r="D40" s="3" t="s">
        <v>146</v>
      </c>
      <c r="E40" s="3" t="s">
        <v>148</v>
      </c>
      <c r="F40" s="3" t="s">
        <v>147</v>
      </c>
      <c r="H40" cm="1">
        <f t="array" ref="H40">LaskeTunnitAikavalit(C40)</f>
        <v>2.2499999999999973</v>
      </c>
    </row>
    <row r="41" spans="1:9" ht="90" customHeight="1" x14ac:dyDescent="0.35">
      <c r="A41" s="3"/>
      <c r="B41" s="3" t="s">
        <v>10</v>
      </c>
      <c r="C41" s="3"/>
      <c r="D41" s="3"/>
      <c r="E41" s="3"/>
      <c r="F41" s="3"/>
    </row>
    <row r="42" spans="1:9" ht="90" customHeight="1" x14ac:dyDescent="0.35">
      <c r="A42" s="3"/>
      <c r="B42" s="3" t="s">
        <v>12</v>
      </c>
      <c r="C42" s="3"/>
      <c r="D42" s="3"/>
      <c r="E42" s="3"/>
      <c r="F42" s="3"/>
    </row>
    <row r="43" spans="1:9" ht="90" customHeight="1" x14ac:dyDescent="0.35">
      <c r="A43" s="3"/>
      <c r="B43" s="3" t="s">
        <v>11</v>
      </c>
      <c r="C43" s="3"/>
      <c r="D43" s="3"/>
      <c r="E43" s="3"/>
      <c r="F43" s="3"/>
    </row>
    <row r="44" spans="1:9" ht="90" customHeight="1" x14ac:dyDescent="0.35">
      <c r="A44" s="3" t="s">
        <v>149</v>
      </c>
      <c r="B44" s="3" t="s">
        <v>6</v>
      </c>
      <c r="C44" s="3" t="s">
        <v>151</v>
      </c>
      <c r="D44" s="3" t="s">
        <v>150</v>
      </c>
      <c r="E44" s="3" t="s">
        <v>153</v>
      </c>
      <c r="F44" s="3" t="s">
        <v>154</v>
      </c>
      <c r="G44" t="s">
        <v>152</v>
      </c>
      <c r="H44" cm="1">
        <f t="array" ref="H44">LaskeTunnitAikavalit(C44)</f>
        <v>2.8333333333333339</v>
      </c>
      <c r="I44">
        <f>SUM(H44:H51)</f>
        <v>10.083333333333329</v>
      </c>
    </row>
    <row r="45" spans="1:9" ht="90" customHeight="1" x14ac:dyDescent="0.35">
      <c r="A45" s="3"/>
      <c r="B45" s="3" t="s">
        <v>7</v>
      </c>
      <c r="C45" s="3" t="s">
        <v>155</v>
      </c>
      <c r="D45" s="3" t="s">
        <v>156</v>
      </c>
      <c r="E45" s="3" t="s">
        <v>157</v>
      </c>
      <c r="F45" s="3" t="s">
        <v>158</v>
      </c>
      <c r="H45" cm="1">
        <f t="array" ref="H45">LaskeTunnitAikavalit(C45)</f>
        <v>2.166666666666667</v>
      </c>
    </row>
    <row r="46" spans="1:9" ht="90" customHeight="1" x14ac:dyDescent="0.35">
      <c r="A46" s="3"/>
      <c r="B46" s="3" t="s">
        <v>8</v>
      </c>
      <c r="C46" s="3" t="s">
        <v>162</v>
      </c>
      <c r="D46" s="3" t="s">
        <v>159</v>
      </c>
      <c r="E46" s="3" t="s">
        <v>160</v>
      </c>
      <c r="F46" s="3" t="s">
        <v>161</v>
      </c>
      <c r="H46" cm="1">
        <f t="array" ref="H46">LaskeTunnitAikavalit(C46)</f>
        <v>2.1666666666666643</v>
      </c>
    </row>
    <row r="47" spans="1:9" ht="90" customHeight="1" x14ac:dyDescent="0.35">
      <c r="A47" s="3"/>
      <c r="B47" s="3" t="s">
        <v>9</v>
      </c>
      <c r="C47" s="3" t="s">
        <v>163</v>
      </c>
      <c r="D47" s="3" t="s">
        <v>164</v>
      </c>
      <c r="E47" s="3" t="s">
        <v>165</v>
      </c>
      <c r="F47" s="3" t="s">
        <v>166</v>
      </c>
      <c r="H47" cm="1">
        <f t="array" ref="H47">LaskeTunnitAikavalit(C47)</f>
        <v>1.3333333333333313</v>
      </c>
    </row>
    <row r="48" spans="1:9" ht="90" customHeight="1" x14ac:dyDescent="0.35">
      <c r="A48" s="3"/>
      <c r="B48" s="3"/>
      <c r="C48" s="3"/>
      <c r="D48" s="3"/>
      <c r="E48" s="3"/>
      <c r="F48" s="3"/>
    </row>
    <row r="49" spans="1:9" ht="90" customHeight="1" x14ac:dyDescent="0.35">
      <c r="A49" s="3"/>
      <c r="B49" s="3"/>
      <c r="C49" s="3"/>
      <c r="D49" s="3"/>
      <c r="E49" s="3"/>
      <c r="F49" s="3"/>
    </row>
    <row r="50" spans="1:9" ht="90" customHeight="1" x14ac:dyDescent="0.35">
      <c r="A50" s="3"/>
      <c r="B50" s="3"/>
      <c r="C50" s="3"/>
      <c r="D50" s="3"/>
      <c r="E50" s="3"/>
      <c r="F50" s="3"/>
    </row>
    <row r="51" spans="1:9" ht="90" customHeight="1" x14ac:dyDescent="0.35">
      <c r="A51" s="3" t="s">
        <v>167</v>
      </c>
      <c r="B51" s="3" t="s">
        <v>6</v>
      </c>
      <c r="C51" s="3" t="s">
        <v>168</v>
      </c>
      <c r="D51" s="3" t="s">
        <v>169</v>
      </c>
      <c r="E51" s="3"/>
      <c r="F51" s="3"/>
      <c r="H51" cm="1">
        <f t="array" ref="H51">LaskeTunnitAikavalit(C51)</f>
        <v>1.583333333333333</v>
      </c>
      <c r="I51">
        <f>SUM(H51:H57)</f>
        <v>12.416666666666668</v>
      </c>
    </row>
    <row r="52" spans="1:9" ht="90" customHeight="1" x14ac:dyDescent="0.35">
      <c r="A52" s="3"/>
      <c r="B52" s="3" t="s">
        <v>7</v>
      </c>
      <c r="C52" s="3" t="s">
        <v>170</v>
      </c>
      <c r="D52" s="3" t="s">
        <v>171</v>
      </c>
      <c r="E52" s="3" t="s">
        <v>172</v>
      </c>
      <c r="F52" s="3"/>
      <c r="H52" cm="1">
        <f t="array" ref="H52">LaskeTunnitAikavalit(C52)</f>
        <v>4.0000000000000018</v>
      </c>
    </row>
    <row r="53" spans="1:9" ht="90" customHeight="1" x14ac:dyDescent="0.35">
      <c r="A53" s="3"/>
      <c r="B53" s="3" t="s">
        <v>8</v>
      </c>
      <c r="C53" s="3" t="s">
        <v>173</v>
      </c>
      <c r="D53" s="3" t="s">
        <v>174</v>
      </c>
      <c r="E53" s="3" t="s">
        <v>175</v>
      </c>
      <c r="F53" s="3"/>
      <c r="H53" cm="1">
        <f t="array" ref="H53">LaskeTunnitAikavalit(C53)</f>
        <v>2.166666666666667</v>
      </c>
    </row>
    <row r="54" spans="1:9" ht="90" customHeight="1" x14ac:dyDescent="0.35">
      <c r="A54" s="3"/>
      <c r="B54" s="3" t="s">
        <v>9</v>
      </c>
      <c r="C54" s="3" t="s">
        <v>178</v>
      </c>
      <c r="D54" s="3" t="s">
        <v>176</v>
      </c>
      <c r="E54" s="3" t="s">
        <v>177</v>
      </c>
      <c r="F54" s="3"/>
      <c r="H54" cm="1">
        <f t="array" ref="H54">LaskeTunnitAikavalit(C54)</f>
        <v>1.9166666666666652</v>
      </c>
    </row>
    <row r="55" spans="1:9" ht="90" customHeight="1" x14ac:dyDescent="0.35">
      <c r="A55" s="3"/>
      <c r="B55" s="3" t="s">
        <v>10</v>
      </c>
      <c r="C55" s="3"/>
      <c r="D55" s="3"/>
      <c r="E55" s="3"/>
      <c r="F55" s="3"/>
    </row>
    <row r="56" spans="1:9" ht="90" customHeight="1" x14ac:dyDescent="0.35">
      <c r="A56" s="3"/>
      <c r="B56" s="3" t="s">
        <v>12</v>
      </c>
      <c r="C56" s="3"/>
      <c r="D56" s="3"/>
      <c r="E56" s="3"/>
      <c r="F56" s="3"/>
    </row>
    <row r="57" spans="1:9" ht="90" customHeight="1" x14ac:dyDescent="0.35">
      <c r="A57" s="3"/>
      <c r="B57" s="3" t="s">
        <v>11</v>
      </c>
      <c r="C57" s="3" t="s">
        <v>185</v>
      </c>
      <c r="D57" s="3" t="s">
        <v>181</v>
      </c>
      <c r="E57" s="3"/>
      <c r="F57" s="3"/>
      <c r="H57" cm="1">
        <f t="array" ref="H57">LaskeTunnitAikavalit(C57)</f>
        <v>2.7500000000000009</v>
      </c>
    </row>
    <row r="58" spans="1:9" ht="90" customHeight="1" x14ac:dyDescent="0.35">
      <c r="A58" s="3" t="s">
        <v>179</v>
      </c>
      <c r="B58" s="3" t="s">
        <v>6</v>
      </c>
      <c r="C58" s="3" t="s">
        <v>180</v>
      </c>
      <c r="D58" s="3" t="s">
        <v>182</v>
      </c>
      <c r="E58" s="3" t="s">
        <v>183</v>
      </c>
      <c r="F58" s="3" t="s">
        <v>189</v>
      </c>
      <c r="G58" s="3" t="s">
        <v>184</v>
      </c>
      <c r="H58" cm="1">
        <f t="array" ref="H58">LaskeTunnitAikavalit(C58)</f>
        <v>5.9999999999999956</v>
      </c>
      <c r="I58">
        <f>SUM(H58:H63)</f>
        <v>10.999999999999996</v>
      </c>
    </row>
    <row r="59" spans="1:9" ht="90" customHeight="1" x14ac:dyDescent="0.35">
      <c r="A59" s="3"/>
      <c r="B59" s="3" t="s">
        <v>7</v>
      </c>
      <c r="C59" s="3" t="s">
        <v>186</v>
      </c>
      <c r="D59" s="3" t="s">
        <v>187</v>
      </c>
      <c r="E59" s="3" t="s">
        <v>188</v>
      </c>
      <c r="F59" s="3"/>
      <c r="H59" cm="1">
        <f t="array" ref="H59">LaskeTunnitAikavalit(C59)</f>
        <v>0.75</v>
      </c>
    </row>
    <row r="60" spans="1:9" ht="90" customHeight="1" x14ac:dyDescent="0.35">
      <c r="A60" s="3"/>
      <c r="B60" s="3" t="s">
        <v>8</v>
      </c>
      <c r="C60" s="3" t="s">
        <v>190</v>
      </c>
      <c r="D60" s="3" t="s">
        <v>192</v>
      </c>
      <c r="E60" s="3" t="s">
        <v>194</v>
      </c>
      <c r="F60" s="3" t="s">
        <v>196</v>
      </c>
      <c r="G60" s="3" t="s">
        <v>197</v>
      </c>
      <c r="H60" cm="1">
        <f t="array" ref="H60">LaskeTunnitAikavalit(C60)</f>
        <v>2.166666666666667</v>
      </c>
    </row>
    <row r="61" spans="1:9" ht="90" customHeight="1" x14ac:dyDescent="0.35">
      <c r="A61" s="3"/>
      <c r="B61" s="3" t="s">
        <v>9</v>
      </c>
      <c r="C61" s="3" t="s">
        <v>191</v>
      </c>
      <c r="D61" s="3" t="s">
        <v>193</v>
      </c>
      <c r="E61" s="3" t="s">
        <v>195</v>
      </c>
      <c r="F61" s="3"/>
      <c r="H61" cm="1">
        <f t="array" ref="H61">LaskeTunnitAikavalit(C61)</f>
        <v>2.0833333333333339</v>
      </c>
    </row>
    <row r="62" spans="1:9" ht="90" customHeight="1" x14ac:dyDescent="0.35">
      <c r="A62" s="3"/>
      <c r="B62" s="3"/>
      <c r="C62" s="3"/>
      <c r="D62" s="3"/>
      <c r="E62" s="3"/>
      <c r="F62" s="3"/>
    </row>
    <row r="63" spans="1:9" ht="90" customHeight="1" x14ac:dyDescent="0.35">
      <c r="A63" s="3"/>
      <c r="B63" s="3" t="s">
        <v>12</v>
      </c>
      <c r="C63" s="3"/>
      <c r="D63" s="3"/>
      <c r="E63" s="3"/>
      <c r="F63" s="3"/>
    </row>
    <row r="64" spans="1:9" ht="90" customHeight="1" x14ac:dyDescent="0.35">
      <c r="A64" s="3"/>
      <c r="B64" s="3"/>
      <c r="C64" s="3"/>
      <c r="D64" s="3"/>
      <c r="E64" s="3"/>
      <c r="F64" s="3"/>
    </row>
    <row r="65" spans="1:6" ht="90" customHeight="1" x14ac:dyDescent="0.35">
      <c r="A65" s="3"/>
      <c r="B65" s="3"/>
      <c r="C65" s="3"/>
      <c r="D65" s="3"/>
      <c r="E65" s="3"/>
      <c r="F65" s="3"/>
    </row>
    <row r="66" spans="1:6" ht="90" customHeight="1" x14ac:dyDescent="0.35">
      <c r="A66" s="3"/>
      <c r="B66" s="3"/>
      <c r="C66" s="3"/>
      <c r="D66" s="3"/>
      <c r="E66" s="3"/>
      <c r="F66" s="3"/>
    </row>
    <row r="67" spans="1:6" ht="90" customHeight="1" x14ac:dyDescent="0.35">
      <c r="A67" s="3"/>
      <c r="B67" s="3"/>
      <c r="C67" s="3"/>
      <c r="D67" s="3"/>
      <c r="E67" s="3"/>
      <c r="F67" s="3"/>
    </row>
    <row r="68" spans="1:6" ht="90" customHeight="1" x14ac:dyDescent="0.35">
      <c r="A68" s="3"/>
      <c r="B68" s="3"/>
      <c r="C68" s="3"/>
      <c r="D68" s="3"/>
      <c r="E68" s="3"/>
      <c r="F68" s="3"/>
    </row>
    <row r="69" spans="1:6" ht="90" customHeight="1" x14ac:dyDescent="0.35">
      <c r="A69" s="3"/>
      <c r="B69" s="3"/>
      <c r="C69" s="3"/>
      <c r="D69" s="3"/>
      <c r="E69" s="3"/>
      <c r="F69" s="3"/>
    </row>
    <row r="70" spans="1:6" ht="90" customHeight="1" x14ac:dyDescent="0.35">
      <c r="A70" s="3"/>
      <c r="B70" s="3"/>
      <c r="C70" s="3"/>
      <c r="D70" s="3"/>
      <c r="E70" s="3"/>
      <c r="F70" s="3"/>
    </row>
    <row r="71" spans="1:6" ht="90" customHeight="1" x14ac:dyDescent="0.35">
      <c r="A71" s="3"/>
      <c r="B71" s="3"/>
      <c r="C71" s="3"/>
      <c r="D71" s="3"/>
      <c r="E71" s="3"/>
      <c r="F71" s="3"/>
    </row>
    <row r="72" spans="1:6" ht="90" customHeight="1" x14ac:dyDescent="0.35">
      <c r="A72" s="3"/>
      <c r="B72" s="3"/>
      <c r="C72" s="3"/>
      <c r="D72" s="3"/>
      <c r="E72" s="3"/>
      <c r="F72" s="3"/>
    </row>
    <row r="73" spans="1:6" ht="90" customHeight="1" x14ac:dyDescent="0.35">
      <c r="A73" s="3"/>
      <c r="B73" s="3"/>
      <c r="C73" s="3"/>
      <c r="D73" s="3"/>
      <c r="E73" s="3"/>
      <c r="F73" s="3"/>
    </row>
    <row r="74" spans="1:6" ht="90" customHeight="1" x14ac:dyDescent="0.35">
      <c r="A74" s="3"/>
      <c r="B74" s="3"/>
      <c r="C74" s="3"/>
      <c r="D74" s="3"/>
      <c r="E74" s="3"/>
      <c r="F74" s="3"/>
    </row>
    <row r="75" spans="1:6" ht="90" customHeight="1" x14ac:dyDescent="0.35">
      <c r="A75" s="3"/>
      <c r="B75" s="3"/>
      <c r="C75" s="3"/>
      <c r="D75" s="3"/>
      <c r="E75" s="3"/>
      <c r="F75" s="3"/>
    </row>
    <row r="76" spans="1:6" ht="90" customHeight="1" x14ac:dyDescent="0.35">
      <c r="A76" s="3"/>
      <c r="B76" s="3"/>
      <c r="C76" s="3"/>
      <c r="D76" s="3"/>
      <c r="E76" s="3"/>
      <c r="F76" s="3"/>
    </row>
    <row r="77" spans="1:6" ht="90" customHeight="1" x14ac:dyDescent="0.35">
      <c r="A77" s="3"/>
      <c r="B77" s="3"/>
      <c r="C77" s="3"/>
      <c r="D77" s="3"/>
      <c r="E77" s="3"/>
      <c r="F77" s="3"/>
    </row>
    <row r="78" spans="1:6" ht="90" customHeight="1" x14ac:dyDescent="0.35">
      <c r="A78" s="3"/>
      <c r="B78" s="3"/>
      <c r="C78" s="3"/>
      <c r="D78" s="3"/>
      <c r="E78" s="3"/>
      <c r="F78" s="3"/>
    </row>
    <row r="79" spans="1:6" ht="90" customHeight="1" x14ac:dyDescent="0.35">
      <c r="A79" s="3"/>
      <c r="B79" s="3"/>
      <c r="C79" s="3"/>
      <c r="D79" s="3"/>
      <c r="E79" s="3"/>
      <c r="F79" s="3"/>
    </row>
    <row r="80" spans="1:6" ht="90" customHeight="1" x14ac:dyDescent="0.35">
      <c r="A80" s="3"/>
      <c r="B80" s="3"/>
      <c r="C80" s="3"/>
      <c r="D80" s="3"/>
      <c r="E80" s="3"/>
      <c r="F80" s="3"/>
    </row>
    <row r="81" spans="1:6" ht="90" customHeight="1" x14ac:dyDescent="0.35">
      <c r="A81" s="3"/>
      <c r="B81" s="3"/>
      <c r="C81" s="3"/>
      <c r="D81" s="3"/>
      <c r="E81" s="3"/>
      <c r="F81" s="3"/>
    </row>
    <row r="82" spans="1:6" ht="90" customHeight="1" x14ac:dyDescent="0.35">
      <c r="A82" s="3"/>
      <c r="B82" s="3"/>
      <c r="C82" s="3"/>
      <c r="D82" s="3"/>
      <c r="E82" s="3"/>
      <c r="F82" s="3"/>
    </row>
    <row r="83" spans="1:6" ht="90" customHeight="1" x14ac:dyDescent="0.35">
      <c r="A83" s="3"/>
      <c r="B83" s="3"/>
      <c r="C83" s="3"/>
      <c r="D83" s="3"/>
      <c r="E83" s="3"/>
      <c r="F83" s="3"/>
    </row>
    <row r="84" spans="1:6" ht="90" customHeight="1" x14ac:dyDescent="0.35">
      <c r="A84" s="3"/>
      <c r="B84" s="3"/>
      <c r="C84" s="3"/>
      <c r="D84" s="3"/>
      <c r="E84" s="3"/>
      <c r="F84" s="3"/>
    </row>
    <row r="85" spans="1:6" ht="90" customHeight="1" x14ac:dyDescent="0.35">
      <c r="A85" s="3"/>
      <c r="B85" s="3"/>
      <c r="C85" s="3"/>
      <c r="D85" s="3"/>
      <c r="E85" s="3"/>
      <c r="F85" s="3"/>
    </row>
    <row r="86" spans="1:6" ht="90" customHeight="1" x14ac:dyDescent="0.35">
      <c r="A86" s="3"/>
      <c r="B86" s="3"/>
      <c r="C86" s="3"/>
      <c r="D86" s="3"/>
      <c r="E86" s="3"/>
      <c r="F86" s="3"/>
    </row>
    <row r="87" spans="1:6" ht="90" customHeight="1" x14ac:dyDescent="0.35">
      <c r="A87" s="3"/>
      <c r="B87" s="3"/>
      <c r="C87" s="3"/>
      <c r="D87" s="3"/>
      <c r="E87" s="3"/>
      <c r="F87" s="3"/>
    </row>
    <row r="88" spans="1:6" ht="90" customHeight="1" x14ac:dyDescent="0.35">
      <c r="A88" s="3"/>
      <c r="B88" s="3"/>
      <c r="C88" s="3"/>
      <c r="D88" s="3"/>
      <c r="E88" s="3"/>
      <c r="F88" s="3"/>
    </row>
    <row r="89" spans="1:6" ht="90" customHeight="1" x14ac:dyDescent="0.35">
      <c r="A89" s="3"/>
      <c r="B89" s="3"/>
      <c r="C89" s="3"/>
      <c r="D89" s="3"/>
      <c r="E89" s="3"/>
      <c r="F89" s="3"/>
    </row>
    <row r="90" spans="1:6" ht="90" customHeight="1" x14ac:dyDescent="0.35">
      <c r="A90" s="3"/>
      <c r="B90" s="3"/>
      <c r="C90" s="3"/>
      <c r="D90" s="3"/>
      <c r="E90" s="3"/>
      <c r="F90" s="3"/>
    </row>
    <row r="91" spans="1:6" ht="90" customHeight="1" x14ac:dyDescent="0.35">
      <c r="A91" s="3"/>
      <c r="B91" s="3"/>
      <c r="C91" s="3"/>
      <c r="D91" s="3"/>
      <c r="E91" s="3"/>
      <c r="F91" s="3"/>
    </row>
    <row r="92" spans="1:6" ht="90" customHeight="1" x14ac:dyDescent="0.35">
      <c r="A92" s="3"/>
      <c r="B92" s="3"/>
      <c r="C92" s="3"/>
      <c r="D92" s="3"/>
      <c r="E92" s="3"/>
      <c r="F92" s="3"/>
    </row>
    <row r="93" spans="1:6" ht="90" customHeight="1" x14ac:dyDescent="0.35">
      <c r="A93" s="3"/>
      <c r="B93" s="3"/>
      <c r="C93" s="3"/>
      <c r="D93" s="3"/>
      <c r="E93" s="3"/>
      <c r="F93" s="3"/>
    </row>
    <row r="94" spans="1:6" ht="90" customHeight="1" x14ac:dyDescent="0.35">
      <c r="A94" s="3"/>
      <c r="B94" s="3"/>
      <c r="C94" s="3"/>
      <c r="D94" s="3"/>
      <c r="E94" s="3"/>
      <c r="F94" s="3"/>
    </row>
    <row r="95" spans="1:6" ht="90" customHeight="1" x14ac:dyDescent="0.35">
      <c r="A95" s="3"/>
      <c r="B95" s="3"/>
      <c r="C95" s="3"/>
      <c r="D95" s="3"/>
      <c r="E95" s="3"/>
      <c r="F95" s="3"/>
    </row>
    <row r="96" spans="1:6" ht="90" customHeight="1" x14ac:dyDescent="0.35">
      <c r="A96" s="3"/>
      <c r="B96" s="3"/>
      <c r="C96" s="3"/>
      <c r="D96" s="3"/>
      <c r="E96" s="3"/>
      <c r="F96" s="3"/>
    </row>
    <row r="97" spans="1:6" ht="90" customHeight="1" x14ac:dyDescent="0.35">
      <c r="A97" s="3"/>
      <c r="B97" s="3"/>
      <c r="C97" s="3"/>
      <c r="D97" s="3"/>
      <c r="E97" s="3"/>
      <c r="F97" s="3"/>
    </row>
    <row r="98" spans="1:6" ht="90" customHeight="1" x14ac:dyDescent="0.35">
      <c r="A98" s="3"/>
      <c r="B98" s="3"/>
      <c r="C98" s="3"/>
      <c r="D98" s="3"/>
      <c r="E98" s="3"/>
      <c r="F98" s="3"/>
    </row>
    <row r="99" spans="1:6" ht="90" customHeight="1" x14ac:dyDescent="0.35">
      <c r="A99" s="3"/>
      <c r="B99" s="3"/>
      <c r="C99" s="3"/>
      <c r="D99" s="3"/>
      <c r="E99" s="3"/>
      <c r="F99" s="3"/>
    </row>
    <row r="100" spans="1:6" ht="90" customHeight="1" x14ac:dyDescent="0.35">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2025-03-08T16:17:05Z</dcterms:modified>
</cp:coreProperties>
</file>