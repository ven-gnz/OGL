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44BF3971-D515-A64E-84D7-3CC6C3CE5A74}" xr6:coauthVersionLast="47" xr6:coauthVersionMax="47" xr10:uidLastSave="{00000000-0000-0000-0000-000000000000}"/>
  <bookViews>
    <workbookView xWindow="20300" yWindow="10380" windowWidth="46540" windowHeight="2646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a="1"/>
  <c r="H4" i="1" a="1"/>
  <c r="H8" i="1" a="1"/>
  <c r="H11" i="1" a="1"/>
  <c r="H6" i="1" a="1"/>
  <c r="H9" i="1" a="1"/>
  <c r="H7" i="1" a="1"/>
  <c r="H13" i="1" a="1"/>
  <c r="H14" i="1" a="1"/>
  <c r="H15" i="1" a="1"/>
  <c r="H17" i="1" a="1"/>
  <c r="H22" i="1" a="1"/>
  <c r="H23" i="1" a="1"/>
  <c r="H25" i="1" a="1"/>
  <c r="H24" i="1" a="1"/>
  <c r="H26" i="1" a="1"/>
  <c r="H27" i="1" a="1"/>
  <c r="H30" i="1" a="1"/>
  <c r="H31" i="1" a="1"/>
  <c r="H33" i="1" a="1"/>
  <c r="H33" i="1" l="1"/>
  <c r="H31" i="1"/>
  <c r="I30" i="1" s="1"/>
  <c r="H30" i="1"/>
  <c r="H27" i="1"/>
  <c r="H26" i="1"/>
  <c r="H25" i="1"/>
  <c r="H24" i="1"/>
  <c r="H23" i="1"/>
  <c r="H22" i="1"/>
  <c r="I21" i="1" s="1"/>
  <c r="H17" i="1"/>
  <c r="H15" i="1"/>
  <c r="H14" i="1"/>
  <c r="H13" i="1"/>
  <c r="H11" i="1"/>
  <c r="H9" i="1"/>
  <c r="H8" i="1"/>
  <c r="H7" i="1"/>
  <c r="H6" i="1"/>
  <c r="H4" i="1"/>
  <c r="H3" i="1"/>
  <c r="I3" i="1" s="1"/>
  <c r="I13" i="1" l="1"/>
  <c r="I6" i="1"/>
  <c r="J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<sst xmlns="http://schemas.openxmlformats.org/spreadsheetml/2006/main" count="138" uniqueCount="118">
  <si>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</si>
  <si>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</si>
  <si>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</si>
  <si>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</si>
  <si>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</si>
  <si>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</si>
  <si>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</si>
  <si>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</si>
  <si>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</si>
  <si>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</si>
  <si>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</si>
  <si>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</si>
  <si>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</si>
  <si>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</si>
  <si>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</si>
  <si>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</si>
  <si>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</si>
  <si>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</si>
  <si>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</si>
  <si>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</si>
  <si>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</si>
  <si>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</si>
  <si>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</si>
  <si>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</si>
  <si>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</si>
  <si>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</si>
  <si>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</si>
  <si>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</si>
  <si>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</si>
  <si>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</si>
  <si>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</si>
  <si>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</si>
  <si>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</si>
  <si>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</si>
  <si>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</si>
  <si>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</si>
  <si>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</si>
  <si>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</si>
  <si>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</si>
  <si>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</si>
  <si>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</si>
  <si>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</si>
  <si>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</si>
  <si>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</si>
  <si>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</si>
  <si>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</si>
  <si>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</si>
  <si>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</si>
  <si>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</si>
  <si>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</si>
  <si>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</si>
  <si>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</si>
  <si>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</si>
  <si>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</si>
  <si>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</si>
  <si>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</si>
  <si>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</si>
  <si>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</si>
  <si>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</si>
  <si>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</si>
  <si>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</si>
  <si>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</si>
  <si>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</si>
  <si>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</si>
  <si>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</si>
  <si>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</si>
  <si>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</si>
  <si>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</si>
  <si>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</si>
  <si>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</si>
  <si>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</si>
  <si>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</si>
  <si>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</si>
  <si>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</si>
  <si>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</si>
  <si>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</si>
  <si>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</si>
  <si>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</si>
  <si>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</si>
  <si>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</si>
  <si>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</si>
  <si>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</si>
  <si>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</si>
  <si>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</si>
  <si>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</si>
  <si>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</si>
  <si>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</si>
  <si>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</si>
  <si>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</si>
  <si>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</si>
  <si>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</si>
  <si>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</si>
  <si>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</si>
  <si>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</si>
  <si>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</si>
  <si>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</si>
  <si>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</si>
  <si>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</si>
  <si>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</si>
  <si>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</si>
  <si>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</si>
  <si>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</si>
  <si>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</si>
  <si>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</si>
  <si>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Las</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</si>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</sst>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workbookViewId="0">
      <selection activeCell="F33" sqref="F33"/>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50.850000000000009</v>
      </c>
    </row>
    <row r="3" spans="1:10" ht="90" hidden="1"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hidden="1"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collapsed="1" x14ac:dyDescent="0.2">
      <c r="A5" s="4" t="s">
        <v>19</v>
      </c>
      <c r="B5" s="3"/>
      <c r="C5" s="3"/>
      <c r="D5" s="3"/>
      <c r="E5" s="3"/>
      <c r="F5" s="3"/>
      <c r="H5" s="6"/>
    </row>
    <row r="6" spans="1:10" ht="90" hidden="1"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hidden="1" customHeight="1" outlineLevel="2" x14ac:dyDescent="0.2">
      <c r="A7" s="4"/>
      <c r="B7" s="4" t="s">
        <v>7</v>
      </c>
      <c r="C7" s="3" t="s">
        <v>34</v>
      </c>
      <c r="D7" s="3" t="s">
        <v>35</v>
      </c>
      <c r="E7" s="3" t="s">
        <v>31</v>
      </c>
      <c r="F7" s="3" t="s">
        <v>32</v>
      </c>
      <c r="G7" s="3" t="s">
        <v>33</v>
      </c>
      <c r="H7" cm="1">
        <f t="array" ref="H7">LaskeTunnitAikavalit(C7)</f>
        <v>2.25</v>
      </c>
    </row>
    <row r="8" spans="1:10" ht="90" hidden="1" customHeight="1" outlineLevel="2" x14ac:dyDescent="0.2">
      <c r="A8" s="4"/>
      <c r="B8" s="3" t="s">
        <v>8</v>
      </c>
      <c r="C8" s="3" t="s">
        <v>37</v>
      </c>
      <c r="D8" s="3" t="s">
        <v>38</v>
      </c>
      <c r="E8" s="3" t="s">
        <v>39</v>
      </c>
      <c r="F8" s="3" t="s">
        <v>40</v>
      </c>
      <c r="G8" s="3" t="s">
        <v>41</v>
      </c>
      <c r="H8" cm="1">
        <f t="array" ref="H8">LaskeTunnitAikavalit(C8)</f>
        <v>2.5000000000000018</v>
      </c>
    </row>
    <row r="9" spans="1:10" ht="90" hidden="1" customHeight="1" outlineLevel="2" x14ac:dyDescent="0.2">
      <c r="A9" s="4"/>
      <c r="B9" s="3" t="s">
        <v>9</v>
      </c>
      <c r="C9" s="3" t="s">
        <v>46</v>
      </c>
      <c r="D9" s="3" t="s">
        <v>42</v>
      </c>
      <c r="E9" s="3" t="s">
        <v>43</v>
      </c>
      <c r="F9" s="3" t="s">
        <v>44</v>
      </c>
      <c r="G9" s="3" t="s">
        <v>45</v>
      </c>
      <c r="H9" cm="1">
        <f t="array" ref="H9">LaskeTunnitAikavalit(C9)</f>
        <v>2.5000000000000018</v>
      </c>
    </row>
    <row r="10" spans="1:10" ht="90" hidden="1" customHeight="1" outlineLevel="2" x14ac:dyDescent="0.2">
      <c r="A10" s="4"/>
      <c r="B10" s="3" t="s">
        <v>20</v>
      </c>
      <c r="C10" s="3"/>
      <c r="D10" s="3"/>
      <c r="E10" s="3"/>
      <c r="F10" s="3"/>
    </row>
    <row r="11" spans="1:10" ht="90" hidden="1" customHeight="1" outlineLevel="2" x14ac:dyDescent="0.2">
      <c r="A11" s="3"/>
      <c r="B11" s="3" t="s">
        <v>12</v>
      </c>
      <c r="C11" s="3" t="s">
        <v>53</v>
      </c>
      <c r="D11" s="3" t="s">
        <v>47</v>
      </c>
      <c r="E11" s="3" t="s">
        <v>48</v>
      </c>
      <c r="F11" s="3" t="s">
        <v>49</v>
      </c>
      <c r="G11" s="3" t="s">
        <v>50</v>
      </c>
      <c r="H11" cm="1">
        <f t="array" ref="H11">LaskeTunnitAikavalit(C11)</f>
        <v>1.9999999999999982</v>
      </c>
    </row>
    <row r="12" spans="1:10" ht="90" hidden="1" customHeight="1" outlineLevel="2" x14ac:dyDescent="0.2">
      <c r="A12" s="3"/>
      <c r="B12" s="3" t="s">
        <v>11</v>
      </c>
      <c r="C12" s="3"/>
      <c r="D12" s="3"/>
      <c r="E12" s="3"/>
      <c r="F12" s="3"/>
    </row>
    <row r="13" spans="1:10" ht="90" hidden="1" customHeight="1" outlineLevel="1" collapsed="1" x14ac:dyDescent="0.2">
      <c r="A13" s="3" t="s">
        <v>55</v>
      </c>
      <c r="B13" s="3" t="s">
        <v>6</v>
      </c>
      <c r="C13" s="3" t="s">
        <v>59</v>
      </c>
      <c r="D13" s="3" t="s">
        <v>56</v>
      </c>
      <c r="E13" s="3" t="s">
        <v>58</v>
      </c>
      <c r="F13" s="3" t="s">
        <v>57</v>
      </c>
      <c r="H13" cm="1">
        <f t="array" ref="H13">LaskeTunnitAikavalit(C13)</f>
        <v>3</v>
      </c>
      <c r="I13">
        <f>SUM(H13:H19)</f>
        <v>8</v>
      </c>
    </row>
    <row r="14" spans="1:10" ht="90" hidden="1" customHeight="1" outlineLevel="1" x14ac:dyDescent="0.2">
      <c r="A14" s="3"/>
      <c r="B14" s="3" t="s">
        <v>7</v>
      </c>
      <c r="C14" s="3" t="s">
        <v>64</v>
      </c>
      <c r="D14" s="3" t="s">
        <v>60</v>
      </c>
      <c r="E14" s="3" t="s">
        <v>62</v>
      </c>
      <c r="F14" s="3" t="s">
        <v>61</v>
      </c>
      <c r="G14" s="3" t="s">
        <v>63</v>
      </c>
      <c r="H14" cm="1">
        <f t="array" ref="H14">LaskeTunnitAikavalit(C14)</f>
        <v>1.8333333333333348</v>
      </c>
    </row>
    <row r="15" spans="1:10" ht="90" hidden="1" customHeight="1" outlineLevel="1" x14ac:dyDescent="0.2">
      <c r="A15" s="3"/>
      <c r="B15" s="3" t="s">
        <v>8</v>
      </c>
      <c r="C15" s="3" t="s">
        <v>66</v>
      </c>
      <c r="D15" s="3" t="s">
        <v>65</v>
      </c>
      <c r="E15" s="3" t="s">
        <v>67</v>
      </c>
      <c r="F15" s="3" t="s">
        <v>68</v>
      </c>
      <c r="G15" s="3" t="s">
        <v>69</v>
      </c>
      <c r="H15" cm="1">
        <f t="array" ref="H15">LaskeTunnitAikavalit(C15)</f>
        <v>2.166666666666667</v>
      </c>
    </row>
    <row r="16" spans="1:10" ht="90" hidden="1" customHeight="1" outlineLevel="1" x14ac:dyDescent="0.2">
      <c r="A16" s="3"/>
      <c r="B16" s="3" t="s">
        <v>9</v>
      </c>
      <c r="C16" s="3"/>
      <c r="D16" s="3"/>
      <c r="E16" s="3"/>
      <c r="F16" s="3"/>
    </row>
    <row r="17" spans="1:9" ht="90" hidden="1" customHeight="1" outlineLevel="1" x14ac:dyDescent="0.2">
      <c r="A17" s="3"/>
      <c r="B17" s="3" t="s">
        <v>10</v>
      </c>
      <c r="C17" s="3" t="s">
        <v>70</v>
      </c>
      <c r="D17" s="3" t="s">
        <v>71</v>
      </c>
      <c r="E17" s="3" t="s">
        <v>72</v>
      </c>
      <c r="F17" s="3" t="s">
        <v>73</v>
      </c>
      <c r="H17" cm="1">
        <f t="array" ref="H17">LaskeTunnitAikavalit(C17)</f>
        <v>0.99999999999999911</v>
      </c>
    </row>
    <row r="18" spans="1:9" ht="90" hidden="1" customHeight="1" outlineLevel="1" x14ac:dyDescent="0.2">
      <c r="A18" s="3"/>
      <c r="B18" s="3" t="s">
        <v>12</v>
      </c>
      <c r="C18" s="3"/>
      <c r="D18" s="3"/>
      <c r="E18" s="3"/>
      <c r="F18" s="3"/>
    </row>
    <row r="19" spans="1:9" ht="90" hidden="1" customHeight="1" outlineLevel="1" x14ac:dyDescent="0.2">
      <c r="A19" s="3"/>
      <c r="B19" s="3" t="s">
        <v>11</v>
      </c>
      <c r="C19" s="3"/>
      <c r="D19" s="3"/>
      <c r="E19" s="3"/>
      <c r="F19" s="3"/>
    </row>
    <row r="20" spans="1:9" ht="90" customHeight="1" collapsed="1" x14ac:dyDescent="0.2">
      <c r="A20" s="3"/>
      <c r="B20" s="3"/>
      <c r="C20" s="3"/>
      <c r="D20" s="3"/>
      <c r="E20" s="3"/>
      <c r="F20" s="3"/>
    </row>
    <row r="21" spans="1:9" ht="90" hidden="1" customHeight="1" outlineLevel="1" x14ac:dyDescent="0.2">
      <c r="A21" s="3" t="s">
        <v>74</v>
      </c>
      <c r="I21">
        <f>SUM(H22:H27)</f>
        <v>11.600000000000001</v>
      </c>
    </row>
    <row r="22" spans="1:9" ht="90" hidden="1" customHeight="1" outlineLevel="2" x14ac:dyDescent="0.2">
      <c r="A22" s="3"/>
      <c r="B22" s="3" t="s">
        <v>6</v>
      </c>
      <c r="C22" s="3" t="s">
        <v>79</v>
      </c>
      <c r="D22" s="3" t="s">
        <v>75</v>
      </c>
      <c r="E22" s="3" t="s">
        <v>76</v>
      </c>
      <c r="F22" s="3" t="s">
        <v>77</v>
      </c>
      <c r="G22" s="3" t="s">
        <v>78</v>
      </c>
      <c r="H22" cm="1">
        <f t="array" ref="H22">LaskeTunnitAikavalit(C22)</f>
        <v>3.4999999999999996</v>
      </c>
    </row>
    <row r="23" spans="1:9" ht="90" hidden="1" customHeight="1" outlineLevel="2" x14ac:dyDescent="0.2">
      <c r="A23" s="3"/>
      <c r="B23" s="3" t="s">
        <v>7</v>
      </c>
      <c r="C23" s="3" t="s">
        <v>80</v>
      </c>
      <c r="D23" s="3" t="s">
        <v>84</v>
      </c>
      <c r="E23" s="3" t="s">
        <v>81</v>
      </c>
      <c r="F23" s="3" t="s">
        <v>82</v>
      </c>
      <c r="H23" cm="1">
        <f t="array" ref="H23">LaskeTunnitAikavalit(C23)</f>
        <v>1.2499999999999982</v>
      </c>
    </row>
    <row r="24" spans="1:9" ht="90" hidden="1" customHeight="1" outlineLevel="2" x14ac:dyDescent="0.2">
      <c r="A24" s="3"/>
      <c r="B24" s="3" t="s">
        <v>8</v>
      </c>
      <c r="C24" s="3" t="s">
        <v>83</v>
      </c>
      <c r="D24" s="3" t="s">
        <v>87</v>
      </c>
      <c r="E24" s="3" t="s">
        <v>85</v>
      </c>
      <c r="F24" s="3" t="s">
        <v>86</v>
      </c>
      <c r="H24" cm="1">
        <f t="array" ref="H24">LaskeTunnitAikavalit(C24)</f>
        <v>1.5000000000000027</v>
      </c>
    </row>
    <row r="25" spans="1:9" ht="90" hidden="1" customHeight="1" outlineLevel="2" x14ac:dyDescent="0.2">
      <c r="A25" s="3"/>
      <c r="B25" s="3" t="s">
        <v>9</v>
      </c>
      <c r="C25" s="3" t="s">
        <v>88</v>
      </c>
      <c r="D25" s="3" t="s">
        <v>89</v>
      </c>
      <c r="E25" s="3" t="s">
        <v>90</v>
      </c>
      <c r="F25" s="3" t="s">
        <v>91</v>
      </c>
      <c r="G25" s="3" t="s">
        <v>92</v>
      </c>
      <c r="H25" cm="1">
        <f t="array" ref="H25">LaskeTunnitAikavalit(C25)</f>
        <v>2.25</v>
      </c>
    </row>
    <row r="26" spans="1:9" ht="90" hidden="1" customHeight="1" outlineLevel="2" x14ac:dyDescent="0.2">
      <c r="A26" s="3"/>
      <c r="B26" s="3" t="s">
        <v>10</v>
      </c>
      <c r="C26" s="3" t="s">
        <v>96</v>
      </c>
      <c r="D26" s="3" t="s">
        <v>97</v>
      </c>
      <c r="E26" s="3" t="s">
        <v>94</v>
      </c>
      <c r="F26" s="3" t="s">
        <v>95</v>
      </c>
      <c r="G26" s="3" t="s">
        <v>93</v>
      </c>
      <c r="H26" cm="1">
        <f t="array" ref="H26">LaskeTunnitAikavalit(C26)</f>
        <v>1.6000000000000023</v>
      </c>
    </row>
    <row r="27" spans="1:9" ht="90" hidden="1" customHeight="1" outlineLevel="2" x14ac:dyDescent="0.2">
      <c r="A27" s="3"/>
      <c r="B27" s="3" t="s">
        <v>11</v>
      </c>
      <c r="C27" s="3" t="s">
        <v>102</v>
      </c>
      <c r="D27" s="3" t="s">
        <v>98</v>
      </c>
      <c r="E27" s="3" t="s">
        <v>99</v>
      </c>
      <c r="F27" s="3" t="s">
        <v>100</v>
      </c>
      <c r="G27" s="3" t="s">
        <v>101</v>
      </c>
      <c r="H27" cm="1">
        <f t="array" ref="H27">LaskeTunnitAikavalit(C27)</f>
        <v>1.5</v>
      </c>
    </row>
    <row r="28" spans="1:9" ht="90" customHeight="1" collapsed="1" x14ac:dyDescent="0.2">
      <c r="A28" s="3"/>
    </row>
    <row r="29" spans="1:9" ht="90" customHeight="1" x14ac:dyDescent="0.2">
      <c r="A29" s="3" t="s">
        <v>103</v>
      </c>
      <c r="B29" s="3"/>
      <c r="C29" s="3"/>
      <c r="D29" s="3"/>
      <c r="E29" s="3"/>
      <c r="F29" s="3"/>
    </row>
    <row r="30" spans="1:9" ht="90" customHeight="1" x14ac:dyDescent="0.2">
      <c r="A30" s="3"/>
      <c r="B30" s="3" t="s">
        <v>6</v>
      </c>
      <c r="C30" s="3" t="s">
        <v>105</v>
      </c>
      <c r="D30" s="3" t="s">
        <v>106</v>
      </c>
      <c r="E30" s="3" t="s">
        <v>107</v>
      </c>
      <c r="F30" s="3" t="s">
        <v>108</v>
      </c>
      <c r="H30" cm="1">
        <f t="array" ref="H30">LaskeTunnitAikavalit(C30)</f>
        <v>1.7499999999999991</v>
      </c>
      <c r="I30">
        <f>SUM(H30:H36)</f>
        <v>5.7500000000000009</v>
      </c>
    </row>
    <row r="31" spans="1:9" ht="90" customHeight="1" x14ac:dyDescent="0.2">
      <c r="A31" s="3"/>
      <c r="B31" s="3" t="s">
        <v>7</v>
      </c>
      <c r="C31" s="3" t="s">
        <v>109</v>
      </c>
      <c r="D31" s="3" t="s">
        <v>110</v>
      </c>
      <c r="E31" s="3" t="s">
        <v>112</v>
      </c>
      <c r="F31" s="3" t="s">
        <v>111</v>
      </c>
      <c r="H31" cm="1">
        <f t="array" ref="H31">LaskeTunnitAikavalit(C31)</f>
        <v>2.0000000000000009</v>
      </c>
    </row>
    <row r="32" spans="1:9" ht="90" customHeight="1" x14ac:dyDescent="0.2">
      <c r="A32" s="3"/>
      <c r="B32" s="3" t="s">
        <v>8</v>
      </c>
      <c r="C32" s="3"/>
      <c r="D32" s="3"/>
      <c r="E32" s="3"/>
      <c r="F32" s="3"/>
    </row>
    <row r="33" spans="1:8" ht="90" customHeight="1" x14ac:dyDescent="0.2">
      <c r="A33" s="3"/>
      <c r="B33" s="3" t="s">
        <v>9</v>
      </c>
      <c r="C33" s="3" t="s">
        <v>113</v>
      </c>
      <c r="D33" s="3" t="s">
        <v>114</v>
      </c>
      <c r="E33" s="3" t="s">
        <v>115</v>
      </c>
      <c r="F33" s="3" t="s">
        <v>117</v>
      </c>
      <c r="G33" s="3" t="s">
        <v>116</v>
      </c>
      <c r="H33" cm="1">
        <f t="array" ref="H33">LaskeTunnitAikavalit(C33)</f>
        <v>2.0000000000000009</v>
      </c>
    </row>
    <row r="34" spans="1:8" ht="90" customHeight="1" x14ac:dyDescent="0.2">
      <c r="A34" s="3"/>
      <c r="B34" s="3" t="s">
        <v>10</v>
      </c>
      <c r="C34" s="3"/>
      <c r="D34" s="3"/>
      <c r="E34" s="3"/>
      <c r="F34" s="3"/>
    </row>
    <row r="35" spans="1:8" ht="90" customHeight="1" x14ac:dyDescent="0.2">
      <c r="A35" s="3"/>
      <c r="B35" s="3" t="s">
        <v>104</v>
      </c>
      <c r="C35" s="3"/>
      <c r="D35" s="3"/>
      <c r="E35" s="3"/>
      <c r="F35" s="3"/>
    </row>
    <row r="36" spans="1:8" ht="90" customHeight="1" x14ac:dyDescent="0.2">
      <c r="A36" s="3"/>
      <c r="B36" s="3" t="s">
        <v>11</v>
      </c>
      <c r="C36" s="3"/>
      <c r="D36" s="3"/>
      <c r="E36" s="3"/>
      <c r="F36" s="3"/>
    </row>
    <row r="37" spans="1:8" ht="90" customHeight="1" x14ac:dyDescent="0.2">
      <c r="A37" s="3"/>
      <c r="B37" s="3"/>
      <c r="C37" s="3"/>
      <c r="D37" s="3"/>
      <c r="E37" s="3"/>
      <c r="F37" s="3"/>
    </row>
    <row r="38" spans="1:8" ht="90" customHeight="1" x14ac:dyDescent="0.2">
      <c r="A38" s="3"/>
      <c r="B38" s="3"/>
      <c r="C38" s="3"/>
      <c r="D38" s="3"/>
      <c r="E38" s="3"/>
      <c r="F38" s="3"/>
    </row>
    <row r="39" spans="1:8" ht="90" customHeight="1" x14ac:dyDescent="0.2">
      <c r="A39" s="3"/>
      <c r="B39" s="3"/>
      <c r="C39" s="3"/>
      <c r="D39" s="3"/>
      <c r="E39" s="3"/>
      <c r="F39" s="3"/>
    </row>
    <row r="40" spans="1:8" ht="90" customHeight="1" x14ac:dyDescent="0.2">
      <c r="A40" s="3"/>
      <c r="B40" s="3"/>
      <c r="C40" s="3"/>
      <c r="D40" s="3"/>
      <c r="E40" s="3"/>
      <c r="F40" s="3"/>
    </row>
    <row r="41" spans="1:8" ht="90" customHeight="1" x14ac:dyDescent="0.2">
      <c r="A41" s="3"/>
      <c r="B41" s="3"/>
      <c r="C41" s="3"/>
      <c r="D41" s="3"/>
      <c r="E41" s="3"/>
      <c r="F41" s="3"/>
    </row>
    <row r="42" spans="1:8" ht="90" customHeight="1" x14ac:dyDescent="0.2">
      <c r="A42" s="3"/>
      <c r="B42" s="3"/>
      <c r="C42" s="3"/>
      <c r="D42" s="3"/>
      <c r="E42" s="3"/>
      <c r="F42" s="3"/>
    </row>
    <row r="43" spans="1:8" ht="90" customHeight="1" x14ac:dyDescent="0.2">
      <c r="A43" s="3"/>
      <c r="B43" s="3"/>
      <c r="C43" s="3"/>
      <c r="D43" s="3"/>
      <c r="E43" s="3"/>
      <c r="F43" s="3"/>
    </row>
    <row r="44" spans="1:8" ht="90" customHeight="1" x14ac:dyDescent="0.2">
      <c r="A44" s="3"/>
      <c r="B44" s="3"/>
      <c r="C44" s="3"/>
      <c r="D44" s="3"/>
      <c r="E44" s="3"/>
      <c r="F44" s="3"/>
    </row>
    <row r="45" spans="1:8" ht="90" customHeight="1" x14ac:dyDescent="0.2">
      <c r="A45" s="3"/>
      <c r="B45" s="3"/>
      <c r="C45" s="3"/>
      <c r="D45" s="3"/>
      <c r="E45" s="3"/>
      <c r="F45" s="3"/>
    </row>
    <row r="46" spans="1:8" ht="90" customHeight="1" x14ac:dyDescent="0.2">
      <c r="A46" s="3"/>
      <c r="B46" s="3"/>
      <c r="C46" s="3"/>
      <c r="D46" s="3"/>
      <c r="E46" s="3"/>
      <c r="F46" s="3"/>
    </row>
    <row r="47" spans="1:8" ht="90" customHeight="1" x14ac:dyDescent="0.2">
      <c r="A47" s="3"/>
      <c r="B47" s="3"/>
      <c r="C47" s="3"/>
      <c r="D47" s="3"/>
      <c r="E47" s="3"/>
      <c r="F47" s="3"/>
    </row>
    <row r="48" spans="1:8"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2025-02-06T18:40:20Z</dcterms:modified>
</cp:coreProperties>
</file>